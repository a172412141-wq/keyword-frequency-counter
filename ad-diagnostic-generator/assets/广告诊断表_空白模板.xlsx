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Height="22220" tabRatio="799" firstSheet="3" activeTab="0" autoFilterDateGrouping="1"/>
  </bookViews>
  <sheets>
    <sheet name="广告组合预算" sheetId="1" state="visible" r:id="rId1"/>
    <sheet name="Bulk" sheetId="2" state="visible" r:id="rId2"/>
    <sheet name="BidingAdjustment" sheetId="3" state="visible" r:id="rId3"/>
    <sheet name="广告位可视化" sheetId="4" state="visible" r:id="rId4"/>
    <sheet name="搜索词模板" sheetId="5" state="visible" r:id="rId5"/>
    <sheet name="词频分析(全部搜索词）" sheetId="6" state="visible" r:id="rId6"/>
    <sheet name="词频分析 (不出单搜素词)" sheetId="7" state="visible" r:id="rId7"/>
    <sheet name="LX_Asin" sheetId="8" state="visible" r:id="rId8"/>
    <sheet name="NicheWord" sheetId="9" state="visible" r:id="rId9"/>
    <sheet name="NicheAsin" sheetId="10" state="visible" r:id="rId10"/>
    <sheet name="否词库" sheetId="11" state="visible" r:id="rId11"/>
    <sheet name="H1F广告架构" sheetId="12" state="visible" r:id="rId12"/>
  </sheets>
  <definedNames>
    <definedName name="SponsoredProductsEntityNames">[1]Config!$B$2:$J$2</definedName>
    <definedName name="SponsoredProductsOperationNames">[1]Config!$B$3:$D$3</definedName>
    <definedName name="_xlnm._FilterDatabase" localSheetId="0" hidden="1">'广告组合预算'!$A$3:$AF$4</definedName>
    <definedName name="_xlnm._FilterDatabase" localSheetId="1" hidden="1">'Bulk'!$A$14:$BE$15</definedName>
    <definedName name="_xlnm._FilterDatabase" localSheetId="2" hidden="1">'BidingAdjustment'!$A$5:$BB$6</definedName>
    <definedName name="_xlnm._FilterDatabase" localSheetId="3" hidden="1">'广告位可视化'!$B$1:$Y$20</definedName>
    <definedName name="_xlnm._FilterDatabase" localSheetId="4" hidden="1">'搜索词模板'!$A$3:$AQ$4</definedName>
    <definedName name="_xlnm._FilterDatabase" localSheetId="5" hidden="1">'词频分析(全部搜索词）'!$A$1:$M$2</definedName>
    <definedName name="_xlnm._FilterDatabase" localSheetId="6" hidden="1">'词频分析 (不出单搜素词)'!$A$1:$M$2</definedName>
    <definedName name="_xlnm._FilterDatabase" localSheetId="7" hidden="1">'LX_Asin'!$A$1:$B$2</definedName>
    <definedName name="_xlnm._FilterDatabase" localSheetId="8" hidden="1">'NicheWord'!$A$5:$T$6</definedName>
    <definedName name="_xlnm._FilterDatabase" localSheetId="9" hidden="1">'NicheAsin'!$A$5:$L$6</definedName>
  </definedNames>
  <calcPr calcId="191029" calcMode="auto" fullCalcOnLoad="1" forceFullCalc="1"/>
</workbook>
</file>

<file path=xl/styles.xml><?xml version="1.0" encoding="utf-8"?>
<styleSheet xmlns="http://schemas.openxmlformats.org/spreadsheetml/2006/main">
  <numFmts count="12">
    <numFmt numFmtId="164" formatCode="_ * #,##0_ ;_ * \-#,##0_ ;_ * &quot;-&quot;??_ ;_ @_ "/>
    <numFmt numFmtId="165" formatCode="0.00_);[Red]\(0.00\)"/>
    <numFmt numFmtId="166" formatCode="0_ "/>
    <numFmt numFmtId="167" formatCode="0.0_ "/>
    <numFmt numFmtId="168" formatCode="#,##0.00_ "/>
    <numFmt numFmtId="169" formatCode="0.0%"/>
    <numFmt numFmtId="170" formatCode="0.00_ "/>
    <numFmt numFmtId="171" formatCode="#,##0.0_ "/>
    <numFmt numFmtId="172" formatCode="_ * #,##0.00_ ;_ * \-#,##0.00_ ;_ * &quot;-&quot;??_ ;_ @_ "/>
    <numFmt numFmtId="173" formatCode="0.000%"/>
    <numFmt numFmtId="174" formatCode="0_);[Red]\(0\)"/>
    <numFmt numFmtId="175" formatCode="0.000_ "/>
  </numFmts>
  <fonts count="43">
    <font>
      <name val="宋体"/>
      <charset val="134"/>
      <color theme="1"/>
      <sz val="11"/>
      <scheme val="minor"/>
    </font>
    <font>
      <name val="宋体"/>
      <charset val="134"/>
      <b val="1"/>
      <color theme="1"/>
      <sz val="11"/>
      <scheme val="minor"/>
    </font>
    <font>
      <name val="等线"/>
      <charset val="134"/>
      <color theme="1"/>
      <sz val="11"/>
    </font>
    <font>
      <name val="等线"/>
      <charset val="134"/>
      <b val="1"/>
      <color theme="1"/>
      <sz val="11"/>
    </font>
    <font>
      <name val="等线"/>
      <charset val="134"/>
      <sz val="11"/>
    </font>
    <font>
      <name val="等线"/>
      <charset val="134"/>
      <color theme="0"/>
      <sz val="11"/>
    </font>
    <font>
      <name val="等线"/>
      <charset val="134"/>
      <b val="1"/>
      <sz val="11"/>
    </font>
    <font>
      <name val="宋体"/>
      <charset val="134"/>
      <b val="1"/>
      <color rgb="FF000000"/>
      <sz val="11"/>
      <scheme val="minor"/>
    </font>
    <font>
      <name val="宋体"/>
      <charset val="134"/>
      <color rgb="FF000000"/>
      <sz val="11"/>
      <scheme val="minor"/>
    </font>
    <font>
      <name val="等线"/>
      <charset val="134"/>
      <b val="1"/>
      <color indexed="8"/>
      <sz val="11"/>
    </font>
    <font>
      <name val="等线"/>
      <charset val="134"/>
      <color indexed="8"/>
      <sz val="11"/>
    </font>
    <font>
      <name val="宋体"/>
      <charset val="134"/>
      <sz val="11"/>
      <scheme val="minor"/>
    </font>
    <font>
      <name val="等线"/>
      <charset val="134"/>
      <sz val="9"/>
    </font>
    <font>
      <name val="等线"/>
      <charset val="134"/>
      <b val="1"/>
      <color rgb="FF000000"/>
      <sz val="11"/>
    </font>
    <font>
      <name val="等线"/>
      <charset val="134"/>
      <b val="1"/>
      <color indexed="8"/>
      <sz val="9"/>
    </font>
    <font>
      <name val=".applesystemuifont"/>
      <charset val="134"/>
      <sz val="9.75"/>
    </font>
    <font>
      <name val=".applesystemuifont"/>
      <charset val="134"/>
      <sz val="10"/>
    </font>
    <font>
      <name val="等线"/>
      <charset val="134"/>
      <b val="1"/>
      <color theme="1"/>
      <sz val="9"/>
    </font>
    <font>
      <name val="等线"/>
      <charset val="134"/>
      <b val="1"/>
      <color theme="1"/>
      <sz val="10"/>
    </font>
    <font>
      <name val="等线"/>
      <charset val="134"/>
      <color theme="1"/>
      <sz val="10"/>
    </font>
    <font>
      <name val="宋体-简"/>
      <charset val="134"/>
      <color theme="1"/>
      <sz val="11"/>
    </font>
    <font>
      <name val="宋体"/>
      <charset val="134"/>
      <color indexed="8"/>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等线"/>
      <charset val="134"/>
      <b val="1"/>
      <color rgb="FFFF0000"/>
      <sz val="11"/>
    </font>
    <font>
      <name val="宋体"/>
      <charset val="134"/>
      <sz val="9"/>
    </font>
  </fonts>
  <fills count="48">
    <fill>
      <patternFill/>
    </fill>
    <fill>
      <patternFill patternType="gray125"/>
    </fill>
    <fill>
      <patternFill patternType="solid">
        <fgColor theme="7" tint="0.6"/>
        <bgColor indexed="64"/>
      </patternFill>
    </fill>
    <fill>
      <patternFill patternType="solid">
        <fgColor theme="8" tint="0.6"/>
        <bgColor indexed="64"/>
      </patternFill>
    </fill>
    <fill>
      <patternFill patternType="solid">
        <fgColor theme="4"/>
        <bgColor indexed="64"/>
      </patternFill>
    </fill>
    <fill>
      <patternFill patternType="solid">
        <fgColor theme="9" tint="0.4"/>
        <bgColor indexed="64"/>
      </patternFill>
    </fill>
    <fill>
      <patternFill patternType="solid">
        <fgColor theme="8" tint="0.4"/>
        <bgColor indexed="64"/>
      </patternFill>
    </fill>
    <fill>
      <patternFill patternType="solid">
        <fgColor theme="2"/>
        <bgColor indexed="64"/>
      </patternFill>
    </fill>
    <fill>
      <patternFill patternType="solid">
        <fgColor theme="2" tint="-0.1"/>
        <bgColor indexed="64"/>
      </patternFill>
    </fill>
    <fill>
      <patternFill patternType="solid">
        <fgColor theme="8" tint="0.8"/>
        <bgColor indexed="64"/>
      </patternFill>
    </fill>
    <fill>
      <patternFill patternType="solid">
        <fgColor theme="9" tint="0.8"/>
        <bgColor indexed="64"/>
      </patternFill>
    </fill>
    <fill>
      <patternFill patternType="solid">
        <fgColor theme="4" tint="0.6"/>
        <bgColor indexed="64"/>
      </patternFill>
    </fill>
    <fill>
      <patternFill patternType="solid">
        <fgColor theme="5" tint="0.4"/>
        <bgColor indexed="64"/>
      </patternFill>
    </fill>
    <fill>
      <patternFill patternType="solid">
        <fgColor theme="7"/>
        <bgColor indexed="64"/>
      </patternFill>
    </fill>
    <fill>
      <patternFill patternType="solid">
        <fgColor theme="9" tint="0.6"/>
        <bgColor indexed="64"/>
      </patternFill>
    </fill>
    <fill>
      <patternFill patternType="solid">
        <fgColor rgb="FFFF0000"/>
        <bgColor indexed="64"/>
      </patternFill>
    </fill>
    <fill>
      <patternFill patternType="solid">
        <fgColor theme="5"/>
        <bgColor indexed="64"/>
      </patternFill>
    </fill>
    <fill>
      <patternFill patternType="solid">
        <fgColor rgb="FFE6E9ED"/>
        <bgColor indexed="64"/>
      </patternFill>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8BFCB"/>
      </left>
      <right style="thin">
        <color rgb="FFB8BFCB"/>
      </right>
      <top/>
      <bottom style="thin">
        <color rgb="FFB8BFCB"/>
      </bottom>
      <diagonal/>
    </border>
    <border>
      <left style="thin">
        <color rgb="FFB8BFCB"/>
      </left>
      <right style="thin">
        <color rgb="FFB8BFCB"/>
      </right>
      <top style="thin">
        <color rgb="FFB8BFCB"/>
      </top>
      <bottom style="thin">
        <color rgb="FFB8BFC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2" fillId="0" borderId="0" applyAlignment="1">
      <alignment vertical="center"/>
    </xf>
    <xf numFmtId="0" fontId="23" fillId="0" borderId="0" applyAlignment="1">
      <alignment vertical="center"/>
    </xf>
    <xf numFmtId="0" fontId="0" fillId="20" borderId="6"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7" applyAlignment="1">
      <alignment vertical="center"/>
    </xf>
    <xf numFmtId="0" fontId="28" fillId="0" borderId="7" applyAlignment="1">
      <alignment vertical="center"/>
    </xf>
    <xf numFmtId="0" fontId="29" fillId="0" borderId="8" applyAlignment="1">
      <alignment vertical="center"/>
    </xf>
    <xf numFmtId="0" fontId="29" fillId="0" borderId="0" applyAlignment="1">
      <alignment vertical="center"/>
    </xf>
    <xf numFmtId="0" fontId="30" fillId="21" borderId="9" applyAlignment="1">
      <alignment vertical="center"/>
    </xf>
    <xf numFmtId="0" fontId="31" fillId="22" borderId="10" applyAlignment="1">
      <alignment vertical="center"/>
    </xf>
    <xf numFmtId="0" fontId="32" fillId="22" borderId="9" applyAlignment="1">
      <alignment vertical="center"/>
    </xf>
    <xf numFmtId="0" fontId="33" fillId="23" borderId="11" applyAlignment="1">
      <alignment vertical="center"/>
    </xf>
    <xf numFmtId="0" fontId="34" fillId="0" borderId="12" applyAlignment="1">
      <alignment vertical="center"/>
    </xf>
    <xf numFmtId="0" fontId="35" fillId="0" borderId="13" applyAlignment="1">
      <alignment vertical="center"/>
    </xf>
    <xf numFmtId="0" fontId="36" fillId="24" borderId="0" applyAlignment="1">
      <alignment vertical="center"/>
    </xf>
    <xf numFmtId="0" fontId="37" fillId="25" borderId="0" applyAlignment="1">
      <alignment vertical="center"/>
    </xf>
    <xf numFmtId="0" fontId="38" fillId="26" borderId="0" applyAlignment="1">
      <alignment vertical="center"/>
    </xf>
    <xf numFmtId="0" fontId="39" fillId="4" borderId="0" applyAlignment="1">
      <alignment vertical="center"/>
    </xf>
    <xf numFmtId="0" fontId="40" fillId="27" borderId="0" applyAlignment="1">
      <alignment vertical="center"/>
    </xf>
    <xf numFmtId="0" fontId="40" fillId="28" borderId="0" applyAlignment="1">
      <alignment vertical="center"/>
    </xf>
    <xf numFmtId="0" fontId="39" fillId="29" borderId="0" applyAlignment="1">
      <alignment vertical="center"/>
    </xf>
    <xf numFmtId="0" fontId="39" fillId="16" borderId="0" applyAlignment="1">
      <alignment vertical="center"/>
    </xf>
    <xf numFmtId="0" fontId="40" fillId="30" borderId="0" applyAlignment="1">
      <alignment vertical="center"/>
    </xf>
    <xf numFmtId="0" fontId="40" fillId="31" borderId="0" applyAlignment="1">
      <alignment vertical="center"/>
    </xf>
    <xf numFmtId="0" fontId="39" fillId="32" borderId="0" applyAlignment="1">
      <alignment vertical="center"/>
    </xf>
    <xf numFmtId="0" fontId="39" fillId="33" borderId="0" applyAlignment="1">
      <alignment vertical="center"/>
    </xf>
    <xf numFmtId="0" fontId="40" fillId="34" borderId="0" applyAlignment="1">
      <alignment vertical="center"/>
    </xf>
    <xf numFmtId="0" fontId="40" fillId="35" borderId="0" applyAlignment="1">
      <alignment vertical="center"/>
    </xf>
    <xf numFmtId="0" fontId="39" fillId="36" borderId="0" applyAlignment="1">
      <alignment vertical="center"/>
    </xf>
    <xf numFmtId="0" fontId="39" fillId="13" borderId="0" applyAlignment="1">
      <alignment vertical="center"/>
    </xf>
    <xf numFmtId="0" fontId="40" fillId="37" borderId="0" applyAlignment="1">
      <alignment vertical="center"/>
    </xf>
    <xf numFmtId="0" fontId="40" fillId="38" borderId="0" applyAlignment="1">
      <alignment vertical="center"/>
    </xf>
    <xf numFmtId="0" fontId="39" fillId="39" borderId="0" applyAlignment="1">
      <alignment vertical="center"/>
    </xf>
    <xf numFmtId="0" fontId="39" fillId="40" borderId="0" applyAlignment="1">
      <alignment vertical="center"/>
    </xf>
    <xf numFmtId="0" fontId="40" fillId="41" borderId="0" applyAlignment="1">
      <alignment vertical="center"/>
    </xf>
    <xf numFmtId="0" fontId="40" fillId="42" borderId="0" applyAlignment="1">
      <alignment vertical="center"/>
    </xf>
    <xf numFmtId="0" fontId="39" fillId="43" borderId="0" applyAlignment="1">
      <alignment vertical="center"/>
    </xf>
    <xf numFmtId="0" fontId="39" fillId="44" borderId="0" applyAlignment="1">
      <alignment vertical="center"/>
    </xf>
    <xf numFmtId="0" fontId="40" fillId="45" borderId="0" applyAlignment="1">
      <alignment vertical="center"/>
    </xf>
    <xf numFmtId="0" fontId="40" fillId="46" borderId="0" applyAlignment="1">
      <alignment vertical="center"/>
    </xf>
    <xf numFmtId="0" fontId="39" fillId="47" borderId="0" applyAlignment="1">
      <alignment vertical="center"/>
    </xf>
  </cellStyleXfs>
  <cellXfs count="298">
    <xf numFmtId="0" fontId="0" fillId="0" borderId="0"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10" fontId="2" fillId="0" borderId="0" applyAlignment="1" pivotButton="0" quotePrefix="0" xfId="3">
      <alignment horizontal="center" vertical="center"/>
    </xf>
    <xf numFmtId="164"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2" fillId="0" borderId="1" applyAlignment="1" pivotButton="0" quotePrefix="0" xfId="0">
      <alignment horizontal="center" vertical="center"/>
    </xf>
    <xf numFmtId="10" fontId="3" fillId="2" borderId="1" applyAlignment="1" pivotButton="0" quotePrefix="0" xfId="3">
      <alignment horizontal="center" vertical="center" wrapText="1"/>
    </xf>
    <xf numFmtId="14" fontId="2" fillId="0" borderId="1" applyAlignment="1" pivotButton="0" quotePrefix="0" xfId="0">
      <alignment horizontal="center" vertical="center"/>
    </xf>
    <xf numFmtId="10" fontId="2" fillId="0" borderId="1" applyAlignment="1" pivotButton="0" quotePrefix="0" xfId="3">
      <alignment horizontal="center" vertical="center"/>
    </xf>
    <xf numFmtId="0" fontId="3" fillId="3" borderId="1" applyAlignment="1" pivotButton="0" quotePrefix="0" xfId="0">
      <alignment horizontal="center" vertical="center"/>
    </xf>
    <xf numFmtId="164" fontId="2" fillId="0" borderId="1" applyAlignment="1" pivotButton="0" quotePrefix="0" xfId="0">
      <alignment horizontal="center" vertical="center"/>
    </xf>
    <xf numFmtId="164" fontId="2" fillId="0" borderId="0" applyAlignment="1" pivotButton="0" quotePrefix="0" xfId="0">
      <alignment horizontal="center" vertical="center" wrapText="1"/>
    </xf>
    <xf numFmtId="0" fontId="4" fillId="0" borderId="0" applyAlignment="1" pivotButton="0" quotePrefix="0" xfId="0">
      <alignment horizontal="center" vertical="center"/>
    </xf>
    <xf numFmtId="164" fontId="4" fillId="0" borderId="0" applyAlignment="1" pivotButton="0" quotePrefix="0" xfId="0">
      <alignment horizontal="center" vertical="center"/>
    </xf>
    <xf numFmtId="0" fontId="2" fillId="0" borderId="0" applyAlignment="1" pivotButton="0" quotePrefix="0" xfId="0">
      <alignment horizontal="center" vertical="center"/>
    </xf>
    <xf numFmtId="14" fontId="2" fillId="0" borderId="0" applyAlignment="1" pivotButton="0" quotePrefix="0" xfId="0">
      <alignment horizontal="center" vertical="center"/>
    </xf>
    <xf numFmtId="9" fontId="2" fillId="0" borderId="0" applyAlignment="1" pivotButton="0" quotePrefix="0" xfId="3">
      <alignment horizontal="center" vertical="center"/>
    </xf>
    <xf numFmtId="165" fontId="2" fillId="0" borderId="0" applyAlignment="1" pivotButton="0" quotePrefix="0" xfId="0">
      <alignment horizontal="center" vertical="center"/>
    </xf>
    <xf numFmtId="9" fontId="2" fillId="0" borderId="1" applyAlignment="1" pivotButton="0" quotePrefix="0" xfId="3">
      <alignment horizontal="center" vertical="center"/>
    </xf>
    <xf numFmtId="0" fontId="2" fillId="2" borderId="1" applyAlignment="1" pivotButton="0" quotePrefix="0" xfId="0">
      <alignment horizontal="center" vertical="center" wrapText="1"/>
    </xf>
    <xf numFmtId="9" fontId="2" fillId="2" borderId="1" applyAlignment="1" pivotButton="0" quotePrefix="0" xfId="3">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164" fontId="2" fillId="3" borderId="1" applyAlignment="1" pivotButton="0" quotePrefix="0" xfId="0">
      <alignment horizontal="center" vertical="center" wrapText="1"/>
    </xf>
    <xf numFmtId="166" fontId="4" fillId="0" borderId="1" applyAlignment="1" pivotButton="0" quotePrefix="0" xfId="0">
      <alignment horizontal="center" vertical="center"/>
    </xf>
    <xf numFmtId="164" fontId="6" fillId="4" borderId="1" applyAlignment="1" pivotButton="0" quotePrefix="0" xfId="0">
      <alignment horizontal="center" vertical="center"/>
    </xf>
    <xf numFmtId="10" fontId="4" fillId="0" borderId="1" applyAlignment="1" pivotButton="0" quotePrefix="0" xfId="3">
      <alignment horizontal="center" vertical="center"/>
    </xf>
    <xf numFmtId="164" fontId="6" fillId="0" borderId="1" applyAlignment="1" pivotButton="0" quotePrefix="0" xfId="0">
      <alignment horizontal="center" vertical="center"/>
    </xf>
    <xf numFmtId="10" fontId="2" fillId="0" borderId="0" applyAlignment="1" pivotButton="0" quotePrefix="0" xfId="0">
      <alignment horizontal="center" vertical="center"/>
    </xf>
    <xf numFmtId="9" fontId="2" fillId="0" borderId="0" applyAlignment="1" pivotButton="0" quotePrefix="0" xfId="0">
      <alignment horizontal="center" vertical="center"/>
    </xf>
    <xf numFmtId="166" fontId="2" fillId="0" borderId="0" applyAlignment="1" pivotButton="0" quotePrefix="0" xfId="0">
      <alignment horizontal="center" vertical="center"/>
    </xf>
    <xf numFmtId="165" fontId="2" fillId="0" borderId="1" applyAlignment="1" pivotButton="0" quotePrefix="0" xfId="3">
      <alignment horizontal="center" vertical="center"/>
    </xf>
    <xf numFmtId="165" fontId="2" fillId="0" borderId="0" applyAlignment="1" pivotButton="0" quotePrefix="0" xfId="0">
      <alignment horizontal="center" vertical="center" wrapText="1"/>
    </xf>
    <xf numFmtId="167" fontId="2"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pivotButton="0" quotePrefix="0" xfId="0"/>
    <xf numFmtId="0" fontId="8" fillId="0" borderId="0" pivotButton="0" quotePrefix="0" xfId="0"/>
    <xf numFmtId="168" fontId="2" fillId="0" borderId="0" applyAlignment="1" pivotButton="0" quotePrefix="0" xfId="3">
      <alignment horizontal="center" vertical="center"/>
    </xf>
    <xf numFmtId="169" fontId="2" fillId="0" borderId="0" applyAlignment="1" pivotButton="0" quotePrefix="0" xfId="3">
      <alignment horizontal="center" vertical="center"/>
    </xf>
    <xf numFmtId="0" fontId="9" fillId="5" borderId="1" applyAlignment="1" pivotButton="0" quotePrefix="0" xfId="0">
      <alignment horizontal="center" vertical="center" wrapText="1"/>
    </xf>
    <xf numFmtId="168" fontId="9" fillId="5" borderId="1" applyAlignment="1" pivotButton="0" quotePrefix="0" xfId="3">
      <alignment horizontal="center" vertical="center" wrapText="1"/>
    </xf>
    <xf numFmtId="169" fontId="9" fillId="5" borderId="1" applyAlignment="1" pivotButton="0" quotePrefix="0" xfId="3">
      <alignment horizontal="center" vertical="center" wrapText="1"/>
    </xf>
    <xf numFmtId="0" fontId="9" fillId="6" borderId="1" applyAlignment="1" pivotButton="0" quotePrefix="0" xfId="0">
      <alignment horizontal="center" vertical="center" wrapText="1"/>
    </xf>
    <xf numFmtId="0" fontId="2" fillId="7" borderId="0" applyAlignment="1" pivotButton="0" quotePrefix="0" xfId="0">
      <alignment horizontal="center" vertical="center"/>
    </xf>
    <xf numFmtId="0" fontId="2" fillId="8" borderId="0" applyAlignment="1" pivotButton="0" quotePrefix="0" xfId="0">
      <alignment horizontal="center" vertical="center"/>
    </xf>
    <xf numFmtId="168" fontId="2" fillId="9" borderId="0" applyAlignment="1" pivotButton="0" quotePrefix="0" xfId="3">
      <alignment horizontal="center" vertical="center"/>
    </xf>
    <xf numFmtId="169" fontId="2" fillId="3" borderId="0" applyAlignment="1" pivotButton="0" quotePrefix="0" xfId="3">
      <alignment horizontal="center" vertical="center"/>
    </xf>
    <xf numFmtId="169" fontId="4" fillId="9" borderId="0" applyAlignment="1" pivotButton="0" quotePrefix="0" xfId="3">
      <alignment horizontal="center" vertical="center"/>
    </xf>
    <xf numFmtId="0" fontId="2" fillId="9" borderId="0" applyAlignment="1" pivotButton="0" quotePrefix="0" xfId="0">
      <alignment horizontal="center" vertical="center"/>
    </xf>
    <xf numFmtId="0" fontId="9" fillId="7" borderId="1" applyAlignment="1" pivotButton="0" quotePrefix="0" xfId="0">
      <alignment horizontal="center" vertical="center" wrapText="1"/>
    </xf>
    <xf numFmtId="0" fontId="2" fillId="7" borderId="1" applyAlignment="1" pivotButton="0" quotePrefix="0" xfId="0">
      <alignment horizontal="center" vertical="center"/>
    </xf>
    <xf numFmtId="0" fontId="3" fillId="8" borderId="1" applyAlignment="1" pivotButton="0" quotePrefix="0" xfId="0">
      <alignment horizontal="center" vertical="center" wrapText="1"/>
    </xf>
    <xf numFmtId="0" fontId="2" fillId="8" borderId="1" applyAlignment="1" pivotButton="0" quotePrefix="0" xfId="0">
      <alignment horizontal="center" vertical="center"/>
    </xf>
    <xf numFmtId="168" fontId="9" fillId="9" borderId="1" applyAlignment="1" pivotButton="0" quotePrefix="0" xfId="3">
      <alignment horizontal="center" vertical="center" wrapText="1"/>
    </xf>
    <xf numFmtId="169" fontId="9" fillId="3" borderId="1" applyAlignment="1" pivotButton="0" quotePrefix="0" xfId="3">
      <alignment horizontal="center" vertical="center" wrapText="1"/>
    </xf>
    <xf numFmtId="169" fontId="6" fillId="9" borderId="1" applyAlignment="1" pivotButton="0" quotePrefix="0" xfId="3">
      <alignment horizontal="center" vertical="center" wrapText="1"/>
    </xf>
    <xf numFmtId="168" fontId="10" fillId="9" borderId="1" applyAlignment="1" pivotButton="0" quotePrefix="0" xfId="0">
      <alignment horizontal="center" vertical="center"/>
    </xf>
    <xf numFmtId="169" fontId="10" fillId="3" borderId="1" applyAlignment="1" pivotButton="0" quotePrefix="0" xfId="3">
      <alignment horizontal="center" vertical="center"/>
    </xf>
    <xf numFmtId="169" fontId="4" fillId="0" borderId="1" applyAlignment="1" pivotButton="0" quotePrefix="0" xfId="3">
      <alignment horizontal="center" vertical="center"/>
    </xf>
    <xf numFmtId="0" fontId="9" fillId="9" borderId="1" applyAlignment="1" pivotButton="0" quotePrefix="0" xfId="0">
      <alignment horizontal="center" vertical="center" wrapText="1"/>
    </xf>
    <xf numFmtId="0" fontId="2" fillId="9" borderId="1" applyAlignment="1" pivotButton="0" quotePrefix="0" xfId="0">
      <alignment horizontal="center" vertical="center"/>
    </xf>
    <xf numFmtId="10" fontId="2" fillId="0" borderId="0" applyAlignment="1" pivotButton="0" quotePrefix="0" xfId="3">
      <alignment horizontal="center" vertical="center"/>
    </xf>
    <xf numFmtId="0" fontId="2" fillId="9" borderId="0" applyAlignment="1" pivotButton="0" quotePrefix="0" xfId="0">
      <alignment horizontal="center" vertical="center"/>
    </xf>
    <xf numFmtId="168" fontId="10" fillId="9" borderId="0" applyAlignment="1" pivotButton="0" quotePrefix="0" xfId="0">
      <alignment horizontal="center" vertical="center"/>
    </xf>
    <xf numFmtId="169" fontId="10" fillId="3" borderId="0" applyAlignment="1" pivotButton="0" quotePrefix="0" xfId="3">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center" vertical="center" wrapText="1"/>
    </xf>
    <xf numFmtId="0" fontId="11" fillId="0" borderId="0" applyAlignment="1" pivotButton="0" quotePrefix="0" xfId="0">
      <alignment horizontal="center" vertical="center"/>
    </xf>
    <xf numFmtId="168" fontId="4" fillId="0" borderId="0" applyAlignment="1" pivotButton="0" quotePrefix="0" xfId="0">
      <alignment horizontal="center" vertical="center"/>
    </xf>
    <xf numFmtId="169" fontId="4" fillId="0" borderId="0" applyAlignment="1" pivotButton="0" quotePrefix="0" xfId="3">
      <alignment horizontal="center" vertical="center"/>
    </xf>
    <xf numFmtId="10" fontId="4" fillId="0" borderId="0" applyAlignment="1" pivotButton="0" quotePrefix="0" xfId="3">
      <alignment horizontal="center" vertical="center"/>
    </xf>
    <xf numFmtId="0" fontId="12" fillId="0" borderId="0" applyAlignment="1" pivotButton="0" quotePrefix="0" xfId="0">
      <alignment horizontal="center" vertical="center"/>
    </xf>
    <xf numFmtId="170" fontId="4" fillId="0" borderId="0" applyAlignment="1" pivotButton="0" quotePrefix="0" xfId="0">
      <alignment horizontal="center" vertical="center"/>
    </xf>
    <xf numFmtId="0" fontId="9" fillId="0" borderId="1" applyAlignment="1" pivotButton="0" quotePrefix="0" xfId="0">
      <alignment horizontal="center" vertical="center"/>
    </xf>
    <xf numFmtId="0" fontId="9" fillId="2" borderId="1" applyAlignment="1" pivotButton="0" quotePrefix="0" xfId="0">
      <alignment horizontal="center" vertical="center" wrapText="1"/>
    </xf>
    <xf numFmtId="168" fontId="9" fillId="0" borderId="1" applyAlignment="1" pivotButton="0" quotePrefix="0" xfId="0">
      <alignment horizontal="center" vertical="center"/>
    </xf>
    <xf numFmtId="169" fontId="9" fillId="0" borderId="1" applyAlignment="1" pivotButton="0" quotePrefix="0" xfId="3">
      <alignment horizontal="center" vertical="center"/>
    </xf>
    <xf numFmtId="168" fontId="9" fillId="10" borderId="1" applyAlignment="1" pivotButton="0" quotePrefix="0" xfId="0">
      <alignment horizontal="center" vertical="center" wrapText="1"/>
    </xf>
    <xf numFmtId="169" fontId="9" fillId="10" borderId="1" applyAlignment="1" pivotButton="0" quotePrefix="0" xfId="3">
      <alignment horizontal="center" vertical="center" wrapText="1"/>
    </xf>
    <xf numFmtId="168" fontId="9" fillId="10" borderId="2" applyAlignment="1" pivotButton="0" quotePrefix="0" xfId="0">
      <alignment horizontal="center" vertical="center" wrapText="1"/>
    </xf>
    <xf numFmtId="168" fontId="4" fillId="0" borderId="0" applyAlignment="1" pivotButton="0" quotePrefix="0" xfId="0">
      <alignment horizontal="center" vertical="center"/>
    </xf>
    <xf numFmtId="168" fontId="10" fillId="0" borderId="0" applyAlignment="1" pivotButton="0" quotePrefix="0" xfId="0">
      <alignment horizontal="center" vertical="center"/>
    </xf>
    <xf numFmtId="10" fontId="9" fillId="0" borderId="1" applyAlignment="1" pivotButton="0" quotePrefix="0" xfId="3">
      <alignment horizontal="center" vertical="center"/>
    </xf>
    <xf numFmtId="9" fontId="9" fillId="0" borderId="1" applyAlignment="1" pivotButton="0" quotePrefix="0" xfId="3">
      <alignment horizontal="center" vertical="center"/>
    </xf>
    <xf numFmtId="0" fontId="9" fillId="10" borderId="1" applyAlignment="1" pivotButton="0" quotePrefix="0" xfId="0">
      <alignment horizontal="center" vertical="center" wrapText="1"/>
    </xf>
    <xf numFmtId="10" fontId="13" fillId="11" borderId="1" applyAlignment="1" pivotButton="0" quotePrefix="0" xfId="3">
      <alignment horizontal="center" vertical="center" wrapText="1"/>
    </xf>
    <xf numFmtId="0" fontId="9" fillId="11" borderId="1" applyAlignment="1" pivotButton="0" quotePrefix="0" xfId="0">
      <alignment horizontal="center" vertical="center" wrapText="1"/>
    </xf>
    <xf numFmtId="170" fontId="14" fillId="0" borderId="1" applyAlignment="1" pivotButton="0" quotePrefix="0" xfId="0">
      <alignment horizontal="center" vertical="center"/>
    </xf>
    <xf numFmtId="10" fontId="9" fillId="0" borderId="0" applyAlignment="1" pivotButton="0" quotePrefix="0" xfId="3">
      <alignment horizontal="center" vertical="center"/>
    </xf>
    <xf numFmtId="10" fontId="10" fillId="0" borderId="1" applyAlignment="1" pivotButton="0" quotePrefix="0" xfId="3">
      <alignment horizontal="center" vertical="center"/>
    </xf>
    <xf numFmtId="0" fontId="10" fillId="0" borderId="0" applyAlignment="1" pivotButton="0" quotePrefix="0" xfId="0">
      <alignment horizontal="center" vertical="center"/>
    </xf>
    <xf numFmtId="0" fontId="13" fillId="2" borderId="1" applyAlignment="1" pivotButton="0" quotePrefix="0" xfId="0">
      <alignment horizontal="center" vertical="center" wrapText="1"/>
    </xf>
    <xf numFmtId="0" fontId="9" fillId="12" borderId="1" applyAlignment="1" pivotButton="0" quotePrefix="0" xfId="0">
      <alignment horizontal="center" vertical="center" wrapText="1"/>
    </xf>
    <xf numFmtId="170" fontId="9" fillId="13" borderId="1" applyAlignment="1" pivotButton="0" quotePrefix="0" xfId="0">
      <alignment horizontal="center" vertical="center"/>
    </xf>
    <xf numFmtId="0" fontId="9" fillId="13" borderId="1" applyAlignment="1" pivotButton="0" quotePrefix="0" xfId="0">
      <alignment horizontal="center" vertical="center"/>
    </xf>
    <xf numFmtId="170" fontId="9" fillId="0" borderId="1" applyAlignment="1" pivotButton="0" quotePrefix="0" xfId="0">
      <alignment horizontal="center" vertical="center"/>
    </xf>
    <xf numFmtId="171" fontId="9" fillId="0" borderId="1" applyAlignment="1" pivotButton="0" quotePrefix="0" xfId="0">
      <alignment horizontal="center" vertical="center"/>
    </xf>
    <xf numFmtId="170" fontId="9" fillId="14" borderId="1" applyAlignment="1" pivotButton="0" quotePrefix="0" xfId="0">
      <alignment horizontal="center" vertical="center" wrapText="1"/>
    </xf>
    <xf numFmtId="0" fontId="9" fillId="14" borderId="1" applyAlignment="1" pivotButton="0" quotePrefix="0" xfId="0">
      <alignment horizontal="center" vertical="center" wrapText="1"/>
    </xf>
    <xf numFmtId="170" fontId="6" fillId="0" borderId="0" applyAlignment="1" pivotButton="0" quotePrefix="0" xfId="0">
      <alignment horizontal="center" vertical="center"/>
    </xf>
    <xf numFmtId="171" fontId="6" fillId="0" borderId="0" applyAlignment="1" pivotButton="0" quotePrefix="0" xfId="0">
      <alignment horizontal="center" vertical="center"/>
    </xf>
    <xf numFmtId="9" fontId="9" fillId="13" borderId="1" applyAlignment="1" pivotButton="0" quotePrefix="0" xfId="0">
      <alignment horizontal="center" vertical="center"/>
    </xf>
    <xf numFmtId="9" fontId="9" fillId="13" borderId="1" applyAlignment="1" pivotButton="0" quotePrefix="0" xfId="0">
      <alignment horizontal="center" vertical="center"/>
    </xf>
    <xf numFmtId="0" fontId="9" fillId="3" borderId="1" applyAlignment="1" pivotButton="0" quotePrefix="0" xfId="0">
      <alignment horizontal="center" vertical="center" wrapText="1"/>
    </xf>
    <xf numFmtId="170" fontId="4" fillId="0" borderId="0" applyAlignment="1" pivotButton="0" quotePrefix="0" xfId="0">
      <alignment horizontal="center" vertical="center"/>
    </xf>
    <xf numFmtId="0" fontId="4" fillId="0" borderId="0" applyAlignment="1" pivotButton="0" quotePrefix="0" xfId="0">
      <alignment horizontal="center" vertical="center"/>
    </xf>
    <xf numFmtId="0" fontId="15" fillId="0" borderId="0" applyAlignment="1" pivotButton="0" quotePrefix="0" xfId="0">
      <alignment horizontal="center" vertical="center"/>
    </xf>
    <xf numFmtId="0" fontId="16" fillId="0" borderId="0" applyAlignment="1" pivotButton="0" quotePrefix="0" xfId="0">
      <alignment horizontal="center" vertical="center"/>
    </xf>
    <xf numFmtId="0" fontId="2" fillId="0" borderId="0" applyAlignment="1" pivotButton="0" quotePrefix="0" xfId="0">
      <alignment vertical="center"/>
    </xf>
    <xf numFmtId="172" fontId="2" fillId="0" borderId="0" applyAlignment="1" pivotButton="0" quotePrefix="0" xfId="0">
      <alignment vertical="center"/>
    </xf>
    <xf numFmtId="0" fontId="9" fillId="8" borderId="1" applyAlignment="1" pivotButton="0" quotePrefix="0" xfId="0">
      <alignment horizontal="center" vertical="center" wrapText="1"/>
    </xf>
    <xf numFmtId="0" fontId="11" fillId="0" borderId="1" applyAlignment="1" pivotButton="0" quotePrefix="0" xfId="0">
      <alignment horizontal="center" vertical="center"/>
    </xf>
    <xf numFmtId="168" fontId="4" fillId="0" borderId="1" applyAlignment="1" pivotButton="0" quotePrefix="0" xfId="0">
      <alignment horizontal="center" vertical="center"/>
    </xf>
    <xf numFmtId="169" fontId="4" fillId="15" borderId="1" applyAlignment="1" pivotButton="0" quotePrefix="0" xfId="3">
      <alignment horizontal="center" vertical="center"/>
    </xf>
    <xf numFmtId="173" fontId="4" fillId="0" borderId="1" applyAlignment="1" pivotButton="0" quotePrefix="0" xfId="3">
      <alignment horizontal="center" vertical="center"/>
    </xf>
    <xf numFmtId="170" fontId="9" fillId="2" borderId="1" applyAlignment="1" pivotButton="0" quotePrefix="0" xfId="0">
      <alignment horizontal="center" vertical="center" wrapText="1"/>
    </xf>
    <xf numFmtId="172" fontId="3" fillId="3" borderId="1" applyAlignment="1" pivotButton="0" quotePrefix="0" xfId="0">
      <alignment horizontal="center" vertical="center" wrapText="1"/>
    </xf>
    <xf numFmtId="170" fontId="4" fillId="0" borderId="1" applyAlignment="1" pivotButton="0" quotePrefix="0" xfId="0">
      <alignment horizontal="center" vertical="center"/>
    </xf>
    <xf numFmtId="0" fontId="2" fillId="0" borderId="0" applyAlignment="1" pivotButton="0" quotePrefix="0" xfId="0">
      <alignment horizontal="center" vertical="center"/>
    </xf>
    <xf numFmtId="0" fontId="17" fillId="3" borderId="1" applyAlignment="1" pivotButton="0" quotePrefix="0" xfId="0">
      <alignment horizontal="center" vertical="center"/>
    </xf>
    <xf numFmtId="0" fontId="3" fillId="16" borderId="1" applyAlignment="1" pivotButton="0" quotePrefix="0" xfId="0">
      <alignment horizontal="center" vertical="center"/>
    </xf>
    <xf numFmtId="0" fontId="17" fillId="0" borderId="2" applyAlignment="1" pivotButton="0" quotePrefix="0" xfId="0">
      <alignment horizontal="center" vertical="center" wrapText="1"/>
    </xf>
    <xf numFmtId="0" fontId="2" fillId="0" borderId="1" applyAlignment="1" pivotButton="0" quotePrefix="0" xfId="0">
      <alignment horizontal="center" vertical="center"/>
    </xf>
    <xf numFmtId="10" fontId="2" fillId="0" borderId="1" applyAlignment="1" pivotButton="0" quotePrefix="0" xfId="3">
      <alignment horizontal="center" vertical="center"/>
    </xf>
    <xf numFmtId="0" fontId="17" fillId="0" borderId="3" applyAlignment="1" pivotButton="0" quotePrefix="0" xfId="0">
      <alignment horizontal="center" vertical="center" wrapText="1"/>
    </xf>
    <xf numFmtId="0" fontId="18" fillId="16" borderId="1" applyAlignment="1" pivotButton="0" quotePrefix="0" xfId="0">
      <alignment horizontal="center" vertical="center"/>
    </xf>
    <xf numFmtId="0" fontId="19" fillId="0" borderId="1" applyAlignment="1" pivotButton="0" quotePrefix="0" xfId="0">
      <alignment horizontal="center" vertical="center"/>
    </xf>
    <xf numFmtId="0" fontId="18" fillId="3" borderId="1" applyAlignment="1" pivotButton="0" quotePrefix="0" xfId="0">
      <alignment horizontal="center" vertical="center"/>
    </xf>
    <xf numFmtId="0" fontId="20" fillId="0" borderId="0"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49" fontId="21" fillId="0" borderId="1" applyAlignment="1" pivotButton="0" quotePrefix="0" xfId="0">
      <alignment horizontal="center" vertical="center" wrapText="1"/>
    </xf>
    <xf numFmtId="49" fontId="21" fillId="0" borderId="0" applyAlignment="1" pivotButton="0" quotePrefix="0" xfId="0">
      <alignment horizontal="center" vertical="center"/>
    </xf>
    <xf numFmtId="49" fontId="21" fillId="17" borderId="1" applyAlignment="1" pivotButton="0" quotePrefix="0" xfId="0">
      <alignment horizontal="center" vertical="center" wrapText="1"/>
    </xf>
    <xf numFmtId="49" fontId="21" fillId="17" borderId="4" applyAlignment="1" pivotButton="0" quotePrefix="0" xfId="0">
      <alignment horizontal="center" vertical="center"/>
    </xf>
    <xf numFmtId="49" fontId="21" fillId="17" borderId="5" applyAlignment="1" pivotButton="0" quotePrefix="0" xfId="0">
      <alignment horizontal="center" vertical="center"/>
    </xf>
    <xf numFmtId="2" fontId="21" fillId="0" borderId="1" applyAlignment="1" pivotButton="0" quotePrefix="0" xfId="0">
      <alignment horizontal="center" vertical="center" wrapText="1"/>
    </xf>
    <xf numFmtId="2" fontId="21" fillId="0" borderId="0" applyAlignment="1" pivotButton="0" quotePrefix="0" xfId="0">
      <alignment horizontal="center" vertical="center"/>
    </xf>
    <xf numFmtId="2" fontId="21" fillId="17" borderId="1" applyAlignment="1" pivotButton="0" quotePrefix="0" xfId="0">
      <alignment horizontal="center" vertical="center" wrapText="1"/>
    </xf>
    <xf numFmtId="2" fontId="21" fillId="17" borderId="4" applyAlignment="1" pivotButton="0" quotePrefix="0" xfId="0">
      <alignment horizontal="center" vertical="center"/>
    </xf>
    <xf numFmtId="2" fontId="21" fillId="17" borderId="5" applyAlignment="1" pivotButton="0" quotePrefix="0" xfId="0">
      <alignment horizontal="center" vertical="center"/>
    </xf>
    <xf numFmtId="1" fontId="21" fillId="17" borderId="1" applyAlignment="1" pivotButton="0" quotePrefix="0" xfId="0">
      <alignment horizontal="center" vertical="center" wrapText="1"/>
    </xf>
    <xf numFmtId="1" fontId="21" fillId="17" borderId="4" applyAlignment="1" pivotButton="0" quotePrefix="0" xfId="0">
      <alignment horizontal="center" vertical="center"/>
    </xf>
    <xf numFmtId="1" fontId="21" fillId="17" borderId="5" applyAlignment="1" pivotButton="0" quotePrefix="0" xfId="0">
      <alignment horizontal="center" vertical="center"/>
    </xf>
    <xf numFmtId="10" fontId="21" fillId="17" borderId="1" applyAlignment="1" pivotButton="0" quotePrefix="0" xfId="0">
      <alignment horizontal="center" vertical="center" wrapText="1"/>
    </xf>
    <xf numFmtId="10" fontId="21" fillId="17" borderId="4" applyAlignment="1" pivotButton="0" quotePrefix="0" xfId="0">
      <alignment horizontal="center" vertical="center"/>
    </xf>
    <xf numFmtId="10" fontId="21" fillId="17" borderId="5" applyAlignment="1" pivotButton="0" quotePrefix="0" xfId="0">
      <alignment horizontal="center" vertical="center"/>
    </xf>
    <xf numFmtId="0" fontId="0" fillId="14" borderId="1" applyAlignment="1" pivotButton="0" quotePrefix="0" xfId="0">
      <alignment horizontal="center" vertical="center"/>
    </xf>
    <xf numFmtId="0" fontId="0" fillId="10" borderId="1" applyAlignment="1" pivotButton="0" quotePrefix="0" xfId="0">
      <alignment horizontal="center" vertical="center"/>
    </xf>
    <xf numFmtId="0" fontId="0" fillId="2" borderId="1" applyAlignment="1" pivotButton="0" quotePrefix="0" xfId="0">
      <alignment horizontal="center" vertical="center"/>
    </xf>
    <xf numFmtId="0" fontId="0" fillId="18" borderId="1" applyAlignment="1" pivotButton="0" quotePrefix="0" xfId="0">
      <alignment horizontal="center" vertical="center"/>
    </xf>
    <xf numFmtId="0" fontId="0" fillId="0" borderId="1" applyAlignment="1" pivotButton="0" quotePrefix="0" xfId="0">
      <alignment horizontal="center" vertical="center"/>
    </xf>
    <xf numFmtId="165" fontId="0" fillId="0" borderId="0" applyAlignment="1" pivotButton="0" quotePrefix="0" xfId="0">
      <alignment vertical="center"/>
    </xf>
    <xf numFmtId="174" fontId="0" fillId="0" borderId="0" applyAlignment="1" pivotButton="0" quotePrefix="0" xfId="0">
      <alignment vertical="center"/>
    </xf>
    <xf numFmtId="10" fontId="0" fillId="0" borderId="0" applyAlignment="1" pivotButton="0" quotePrefix="0" xfId="3">
      <alignment vertical="center"/>
    </xf>
    <xf numFmtId="49" fontId="21" fillId="18" borderId="1" applyAlignment="1" pivotButton="0" quotePrefix="0" xfId="0">
      <alignment horizontal="center" vertical="center" wrapText="1"/>
    </xf>
    <xf numFmtId="2" fontId="21" fillId="18" borderId="1" applyAlignment="1" pivotButton="0" quotePrefix="0" xfId="0">
      <alignment horizontal="center" vertical="center" wrapText="1"/>
    </xf>
    <xf numFmtId="49" fontId="21" fillId="14" borderId="1" applyAlignment="1" pivotButton="0" quotePrefix="0" xfId="0">
      <alignment horizontal="center" vertical="center"/>
    </xf>
    <xf numFmtId="49" fontId="21" fillId="10" borderId="1" applyAlignment="1" pivotButton="0" quotePrefix="0" xfId="0">
      <alignment horizontal="center" vertical="center"/>
    </xf>
    <xf numFmtId="0" fontId="0" fillId="14" borderId="1" applyAlignment="1" pivotButton="0" quotePrefix="0" xfId="0">
      <alignment horizontal="center" vertical="center" wrapText="1"/>
    </xf>
    <xf numFmtId="0" fontId="0" fillId="10" borderId="1" applyAlignment="1" pivotButton="0" quotePrefix="0" xfId="0">
      <alignment horizontal="center" vertical="center" wrapText="1"/>
    </xf>
    <xf numFmtId="165" fontId="0" fillId="2" borderId="1" applyAlignment="1" pivotButton="0" quotePrefix="0" xfId="0">
      <alignment horizontal="center" vertical="center"/>
    </xf>
    <xf numFmtId="165" fontId="21" fillId="18" borderId="1" applyAlignment="1" pivotButton="0" quotePrefix="0" xfId="0">
      <alignment horizontal="center" vertical="center" wrapText="1"/>
    </xf>
    <xf numFmtId="165" fontId="21" fillId="17" borderId="1" applyAlignment="1" pivotButton="0" quotePrefix="0" xfId="0">
      <alignment horizontal="center" vertical="center" wrapText="1"/>
    </xf>
    <xf numFmtId="174" fontId="21" fillId="17" borderId="1" applyAlignment="1" pivotButton="0" quotePrefix="0" xfId="0">
      <alignment horizontal="center" vertical="center" wrapText="1"/>
    </xf>
    <xf numFmtId="165" fontId="21" fillId="17" borderId="4" applyAlignment="1" pivotButton="0" quotePrefix="0" xfId="0">
      <alignment horizontal="center" vertical="center"/>
    </xf>
    <xf numFmtId="165" fontId="21" fillId="17" borderId="5" applyAlignment="1" pivotButton="0" quotePrefix="0" xfId="0">
      <alignment horizontal="center" vertical="center"/>
    </xf>
    <xf numFmtId="10" fontId="0" fillId="14" borderId="1" applyAlignment="1" pivotButton="0" quotePrefix="0" xfId="3">
      <alignment horizontal="center" vertical="center"/>
    </xf>
    <xf numFmtId="10" fontId="0" fillId="10" borderId="1" applyAlignment="1" pivotButton="0" quotePrefix="0" xfId="3">
      <alignment horizontal="center" vertical="center"/>
    </xf>
    <xf numFmtId="10" fontId="21" fillId="18" borderId="1" applyAlignment="1" pivotButton="0" quotePrefix="0" xfId="3">
      <alignment horizontal="center" vertical="center" wrapText="1"/>
    </xf>
    <xf numFmtId="10" fontId="21" fillId="17" borderId="1" applyAlignment="1" pivotButton="0" quotePrefix="0" xfId="3">
      <alignment horizontal="center" vertical="center" wrapText="1"/>
    </xf>
    <xf numFmtId="165" fontId="21" fillId="17" borderId="4" applyAlignment="1" pivotButton="0" quotePrefix="0" xfId="3">
      <alignment horizontal="center" vertical="center"/>
    </xf>
    <xf numFmtId="165" fontId="21" fillId="17" borderId="5" applyAlignment="1" pivotButton="0" quotePrefix="0" xfId="3">
      <alignment horizontal="center" vertical="center"/>
    </xf>
    <xf numFmtId="174" fontId="0" fillId="14" borderId="1" applyAlignment="1" pivotButton="0" quotePrefix="0" xfId="0">
      <alignment horizontal="center" vertical="center"/>
    </xf>
    <xf numFmtId="174" fontId="0" fillId="10" borderId="1" applyAlignment="1" pivotButton="0" quotePrefix="0" xfId="0">
      <alignment horizontal="center" vertical="center"/>
    </xf>
    <xf numFmtId="174" fontId="0" fillId="2" borderId="1" applyAlignment="1" pivotButton="0" quotePrefix="0" xfId="0">
      <alignment horizontal="center" vertical="center"/>
    </xf>
    <xf numFmtId="174" fontId="21" fillId="18" borderId="1" applyAlignment="1" pivotButton="0" quotePrefix="0" xfId="0">
      <alignment horizontal="center" vertical="center" wrapText="1"/>
    </xf>
    <xf numFmtId="10" fontId="21" fillId="17" borderId="4" applyAlignment="1" pivotButton="0" quotePrefix="0" xfId="3">
      <alignment horizontal="center" vertical="center"/>
    </xf>
    <xf numFmtId="10" fontId="21" fillId="17" borderId="5" applyAlignment="1" pivotButton="0" quotePrefix="0" xfId="3">
      <alignment horizontal="center" vertical="center"/>
    </xf>
    <xf numFmtId="165" fontId="0" fillId="14" borderId="1" applyAlignment="1" pivotButton="0" quotePrefix="0" xfId="0">
      <alignment horizontal="center" vertical="center"/>
    </xf>
    <xf numFmtId="165" fontId="0" fillId="10" borderId="1" applyAlignment="1" pivotButton="0" quotePrefix="0" xfId="0">
      <alignment horizontal="center" vertical="center"/>
    </xf>
    <xf numFmtId="10" fontId="0" fillId="18" borderId="1" applyAlignment="1" pivotButton="0" quotePrefix="0" xfId="3">
      <alignment horizontal="center" vertical="center"/>
    </xf>
    <xf numFmtId="165" fontId="0" fillId="0" borderId="1" applyAlignment="1" pivotButton="0" quotePrefix="0" xfId="0">
      <alignment horizontal="center" vertical="center"/>
    </xf>
    <xf numFmtId="0" fontId="0" fillId="0" borderId="0" applyAlignment="1" pivotButton="0" quotePrefix="0" xfId="0">
      <alignment horizontal="center" vertical="center" wrapText="1"/>
    </xf>
    <xf numFmtId="10" fontId="0" fillId="0" borderId="0" applyAlignment="1" pivotButton="0" quotePrefix="0" xfId="3">
      <alignment horizontal="center" vertical="center"/>
    </xf>
    <xf numFmtId="172" fontId="0" fillId="0" borderId="0" applyAlignment="1" pivotButton="0" quotePrefix="0" xfId="0">
      <alignment horizontal="center" vertical="center"/>
    </xf>
    <xf numFmtId="9" fontId="0" fillId="0" borderId="0" applyAlignment="1" pivotButton="0" quotePrefix="0" xfId="3">
      <alignment horizontal="center" vertical="center"/>
    </xf>
    <xf numFmtId="172" fontId="0" fillId="0" borderId="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166" fontId="0" fillId="0" borderId="1" applyAlignment="1" pivotButton="0" quotePrefix="0" xfId="0">
      <alignment horizontal="center" vertical="center"/>
    </xf>
    <xf numFmtId="14" fontId="0" fillId="0" borderId="1" applyAlignment="1" pivotButton="0" quotePrefix="0" xfId="0">
      <alignment horizontal="center" vertical="center"/>
    </xf>
    <xf numFmtId="10" fontId="0" fillId="0" borderId="1" applyAlignment="1" pivotButton="0" quotePrefix="0" xfId="3">
      <alignment horizontal="center" vertical="center"/>
    </xf>
    <xf numFmtId="10" fontId="0" fillId="0" borderId="1" applyAlignment="1" pivotButton="0" quotePrefix="0" xfId="3">
      <alignment horizontal="center" vertical="center" wrapText="1"/>
    </xf>
    <xf numFmtId="10" fontId="0" fillId="0" borderId="1" applyAlignment="1" pivotButton="0" quotePrefix="0" xfId="3">
      <alignment horizontal="center" vertical="center"/>
    </xf>
    <xf numFmtId="172" fontId="0" fillId="0" borderId="1" applyAlignment="1" pivotButton="0" quotePrefix="0" xfId="0">
      <alignment horizontal="center" vertical="center"/>
    </xf>
    <xf numFmtId="172" fontId="0" fillId="0" borderId="1" applyAlignment="1" pivotButton="0" quotePrefix="0" xfId="0">
      <alignment horizontal="center" vertical="center" wrapText="1"/>
    </xf>
    <xf numFmtId="10" fontId="0" fillId="13" borderId="1" applyAlignment="1" pivotButton="0" quotePrefix="0" xfId="3">
      <alignment horizontal="center" vertical="center" wrapText="1"/>
    </xf>
    <xf numFmtId="175" fontId="0" fillId="0" borderId="1" applyAlignment="1" pivotButton="0" quotePrefix="0" xfId="0">
      <alignment horizontal="center" vertical="center"/>
    </xf>
    <xf numFmtId="10" fontId="0" fillId="13" borderId="1" applyAlignment="1" pivotButton="0" quotePrefix="0" xfId="3">
      <alignment horizontal="center" vertical="center"/>
    </xf>
    <xf numFmtId="172" fontId="0" fillId="0" borderId="1" applyAlignment="1" pivotButton="0" quotePrefix="0" xfId="0">
      <alignment horizontal="center" vertical="center"/>
    </xf>
    <xf numFmtId="170" fontId="0" fillId="0" borderId="1" applyAlignment="1" pivotButton="0" quotePrefix="0" xfId="0">
      <alignment horizontal="center" vertical="center"/>
    </xf>
    <xf numFmtId="170" fontId="0" fillId="0" borderId="1" applyAlignment="1" pivotButton="0" quotePrefix="0" xfId="0">
      <alignment horizontal="center" vertical="center" wrapText="1"/>
    </xf>
    <xf numFmtId="170" fontId="11" fillId="0" borderId="1" applyAlignment="1" pivotButton="0" quotePrefix="0" xfId="0">
      <alignment horizontal="center" vertical="center"/>
    </xf>
    <xf numFmtId="170" fontId="0" fillId="0" borderId="1" applyAlignment="1" pivotButton="0" quotePrefix="0" xfId="0">
      <alignment horizontal="center" vertical="center"/>
    </xf>
    <xf numFmtId="10" fontId="11" fillId="0" borderId="1" applyAlignment="1" pivotButton="0" quotePrefix="0" xfId="3">
      <alignment horizontal="center" vertical="center"/>
    </xf>
    <xf numFmtId="172" fontId="0" fillId="0" borderId="1" applyAlignment="1" pivotButton="0" quotePrefix="0" xfId="3">
      <alignment horizontal="center" vertical="center"/>
    </xf>
    <xf numFmtId="172" fontId="3" fillId="3" borderId="1" applyAlignment="1" pivotButton="0" quotePrefix="0" xfId="3">
      <alignment horizontal="center" vertical="center" wrapText="1"/>
    </xf>
    <xf numFmtId="172" fontId="11" fillId="0" borderId="1" applyAlignment="1" pivotButton="0" quotePrefix="0" xfId="3">
      <alignment horizontal="center" vertical="center"/>
    </xf>
    <xf numFmtId="10" fontId="11" fillId="19" borderId="1" applyAlignment="1" pivotButton="0" quotePrefix="0" xfId="3">
      <alignment horizontal="center" vertical="center"/>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172" fontId="11" fillId="0" borderId="1" applyAlignment="1" pivotButton="0" quotePrefix="0" xfId="0">
      <alignment horizontal="center" vertical="center"/>
    </xf>
    <xf numFmtId="166" fontId="11" fillId="0" borderId="1" applyAlignment="1" pivotButton="0" quotePrefix="0" xfId="0">
      <alignment horizontal="center" vertical="center"/>
    </xf>
    <xf numFmtId="170" fontId="11" fillId="0" borderId="1" applyAlignment="1" pivotButton="0" quotePrefix="0" xfId="0">
      <alignment horizontal="center" vertical="center"/>
    </xf>
    <xf numFmtId="172" fontId="0" fillId="0" borderId="0" applyAlignment="1" pivotButton="0" quotePrefix="0" xfId="0">
      <alignment horizontal="center" vertical="center"/>
    </xf>
    <xf numFmtId="172" fontId="0" fillId="0" borderId="0" applyAlignment="1" pivotButton="0" quotePrefix="0" xfId="3">
      <alignment horizontal="center" vertical="center"/>
    </xf>
    <xf numFmtId="172" fontId="0" fillId="0" borderId="1" applyAlignment="1" pivotButton="0" quotePrefix="0" xfId="0">
      <alignment horizontal="center" vertical="center"/>
    </xf>
    <xf numFmtId="170" fontId="0" fillId="0" borderId="1" applyAlignment="1" pivotButton="0" quotePrefix="0" xfId="0">
      <alignment horizontal="center" vertical="center"/>
    </xf>
    <xf numFmtId="172" fontId="0" fillId="0" borderId="1" applyAlignment="1" pivotButton="0" quotePrefix="0" xfId="3">
      <alignment horizontal="center" vertical="center"/>
    </xf>
    <xf numFmtId="172" fontId="0" fillId="0" borderId="1" applyAlignment="1" pivotButton="0" quotePrefix="0" xfId="0">
      <alignment horizontal="center" vertical="center" wrapText="1"/>
    </xf>
    <xf numFmtId="170" fontId="0" fillId="0" borderId="1" applyAlignment="1" pivotButton="0" quotePrefix="0" xfId="0">
      <alignment horizontal="center" vertical="center" wrapText="1"/>
    </xf>
    <xf numFmtId="172" fontId="3" fillId="3" borderId="1" applyAlignment="1" pivotButton="0" quotePrefix="0" xfId="0">
      <alignment horizontal="center" vertical="center" wrapText="1"/>
    </xf>
    <xf numFmtId="172" fontId="3" fillId="3" borderId="1" applyAlignment="1" pivotButton="0" quotePrefix="0" xfId="3">
      <alignment horizontal="center" vertical="center" wrapText="1"/>
    </xf>
    <xf numFmtId="175" fontId="0" fillId="0" borderId="1" applyAlignment="1" pivotButton="0" quotePrefix="0" xfId="0">
      <alignment horizontal="center" vertical="center"/>
    </xf>
    <xf numFmtId="170" fontId="11" fillId="0" borderId="1" applyAlignment="1" pivotButton="0" quotePrefix="0" xfId="0">
      <alignment horizontal="center" vertical="center"/>
    </xf>
    <xf numFmtId="172" fontId="11" fillId="0" borderId="1" applyAlignment="1" pivotButton="0" quotePrefix="0" xfId="3">
      <alignment horizontal="center" vertical="center"/>
    </xf>
    <xf numFmtId="172" fontId="11" fillId="0" borderId="1" applyAlignment="1" pivotButton="0" quotePrefix="0" xfId="0">
      <alignment horizontal="center" vertical="center"/>
    </xf>
    <xf numFmtId="166" fontId="11" fillId="0" borderId="1" applyAlignment="1" pivotButton="0" quotePrefix="0" xfId="0">
      <alignment horizontal="center" vertical="center"/>
    </xf>
    <xf numFmtId="166" fontId="0" fillId="0" borderId="1" applyAlignment="1" pivotButton="0" quotePrefix="0" xfId="0">
      <alignment horizontal="center" vertical="center"/>
    </xf>
    <xf numFmtId="0" fontId="0" fillId="0" borderId="0" pivotButton="0" quotePrefix="0" xfId="0"/>
    <xf numFmtId="165" fontId="0" fillId="0" borderId="0" applyAlignment="1" pivotButton="0" quotePrefix="0" xfId="0">
      <alignment vertical="center"/>
    </xf>
    <xf numFmtId="174" fontId="0" fillId="0" borderId="0" applyAlignment="1" pivotButton="0" quotePrefix="0" xfId="0">
      <alignment vertical="center"/>
    </xf>
    <xf numFmtId="174" fontId="0" fillId="14" borderId="1" applyAlignment="1" pivotButton="0" quotePrefix="0" xfId="0">
      <alignment horizontal="center" vertical="center"/>
    </xf>
    <xf numFmtId="165" fontId="0" fillId="14" borderId="1" applyAlignment="1" pivotButton="0" quotePrefix="0" xfId="0">
      <alignment horizontal="center" vertical="center"/>
    </xf>
    <xf numFmtId="174" fontId="0" fillId="10" borderId="1" applyAlignment="1" pivotButton="0" quotePrefix="0" xfId="0">
      <alignment horizontal="center" vertical="center"/>
    </xf>
    <xf numFmtId="165" fontId="0" fillId="10" borderId="1" applyAlignment="1" pivotButton="0" quotePrefix="0" xfId="0">
      <alignment horizontal="center" vertical="center"/>
    </xf>
    <xf numFmtId="165" fontId="0" fillId="2" borderId="1" applyAlignment="1" pivotButton="0" quotePrefix="0" xfId="0">
      <alignment horizontal="center" vertical="center"/>
    </xf>
    <xf numFmtId="174" fontId="0" fillId="2" borderId="1" applyAlignment="1" pivotButton="0" quotePrefix="0" xfId="0">
      <alignment horizontal="center" vertical="center"/>
    </xf>
    <xf numFmtId="165" fontId="21" fillId="18" borderId="1" applyAlignment="1" pivotButton="0" quotePrefix="0" xfId="0">
      <alignment horizontal="center" vertical="center" wrapText="1"/>
    </xf>
    <xf numFmtId="174" fontId="21" fillId="18" borderId="1" applyAlignment="1" pivotButton="0" quotePrefix="0" xfId="0">
      <alignment horizontal="center" vertical="center" wrapText="1"/>
    </xf>
    <xf numFmtId="165" fontId="21" fillId="17" borderId="1" applyAlignment="1" pivotButton="0" quotePrefix="0" xfId="0">
      <alignment horizontal="center" vertical="center" wrapText="1"/>
    </xf>
    <xf numFmtId="174" fontId="21" fillId="17" borderId="1" applyAlignment="1" pivotButton="0" quotePrefix="0" xfId="0">
      <alignment horizontal="center" vertical="center" wrapText="1"/>
    </xf>
    <xf numFmtId="165" fontId="0" fillId="0" borderId="1" applyAlignment="1" pivotButton="0" quotePrefix="0" xfId="0">
      <alignment horizontal="center" vertical="center"/>
    </xf>
    <xf numFmtId="165" fontId="21" fillId="17" borderId="4" applyAlignment="1" pivotButton="0" quotePrefix="0" xfId="0">
      <alignment horizontal="center" vertical="center"/>
    </xf>
    <xf numFmtId="165" fontId="21" fillId="17" borderId="4" applyAlignment="1" pivotButton="0" quotePrefix="0" xfId="3">
      <alignment horizontal="center" vertical="center"/>
    </xf>
    <xf numFmtId="172" fontId="2" fillId="0" borderId="0" applyAlignment="1" pivotButton="0" quotePrefix="0" xfId="0">
      <alignment vertical="center"/>
    </xf>
    <xf numFmtId="170" fontId="9" fillId="2" borderId="1" applyAlignment="1" pivotButton="0" quotePrefix="0" xfId="0">
      <alignment horizontal="center" vertical="center" wrapText="1"/>
    </xf>
    <xf numFmtId="168" fontId="4" fillId="0" borderId="1" applyAlignment="1" pivotButton="0" quotePrefix="0" xfId="0">
      <alignment horizontal="center" vertical="center"/>
    </xf>
    <xf numFmtId="169" fontId="4" fillId="0" borderId="1" applyAlignment="1" pivotButton="0" quotePrefix="0" xfId="3">
      <alignment horizontal="center" vertical="center"/>
    </xf>
    <xf numFmtId="170" fontId="4" fillId="0" borderId="1" applyAlignment="1" pivotButton="0" quotePrefix="0" xfId="0">
      <alignment horizontal="center" vertical="center"/>
    </xf>
    <xf numFmtId="0" fontId="17" fillId="0" borderId="1" applyAlignment="1" pivotButton="0" quotePrefix="0" xfId="0">
      <alignment horizontal="center" vertical="center" wrapText="1"/>
    </xf>
    <xf numFmtId="0" fontId="0" fillId="0" borderId="3" pivotButton="0" quotePrefix="0" xfId="0"/>
    <xf numFmtId="169" fontId="4" fillId="15" borderId="1" applyAlignment="1" pivotButton="0" quotePrefix="0" xfId="3">
      <alignment horizontal="center" vertical="center"/>
    </xf>
    <xf numFmtId="173" fontId="4" fillId="0" borderId="1" applyAlignment="1" pivotButton="0" quotePrefix="0" xfId="3">
      <alignment horizontal="center" vertical="center"/>
    </xf>
    <xf numFmtId="168" fontId="4" fillId="0" borderId="0" applyAlignment="1" pivotButton="0" quotePrefix="0" xfId="0">
      <alignment horizontal="center" vertical="center"/>
    </xf>
    <xf numFmtId="169" fontId="4" fillId="0" borderId="0" applyAlignment="1" pivotButton="0" quotePrefix="0" xfId="3">
      <alignment horizontal="center" vertical="center"/>
    </xf>
    <xf numFmtId="170" fontId="4" fillId="0" borderId="0" applyAlignment="1" pivotButton="0" quotePrefix="0" xfId="0">
      <alignment horizontal="center" vertical="center"/>
    </xf>
    <xf numFmtId="168" fontId="9" fillId="0" borderId="1" applyAlignment="1" pivotButton="0" quotePrefix="0" xfId="0">
      <alignment horizontal="center" vertical="center"/>
    </xf>
    <xf numFmtId="169" fontId="9" fillId="0" borderId="1" applyAlignment="1" pivotButton="0" quotePrefix="0" xfId="3">
      <alignment horizontal="center" vertical="center"/>
    </xf>
    <xf numFmtId="168" fontId="10" fillId="0" borderId="0" applyAlignment="1" pivotButton="0" quotePrefix="0" xfId="0">
      <alignment horizontal="center" vertical="center"/>
    </xf>
    <xf numFmtId="170" fontId="14" fillId="0" borderId="1" applyAlignment="1" pivotButton="0" quotePrefix="0" xfId="0">
      <alignment horizontal="center" vertical="center"/>
    </xf>
    <xf numFmtId="170" fontId="9" fillId="13" borderId="1" applyAlignment="1" pivotButton="0" quotePrefix="0" xfId="0">
      <alignment horizontal="center" vertical="center"/>
    </xf>
    <xf numFmtId="170" fontId="9" fillId="0" borderId="1" applyAlignment="1" pivotButton="0" quotePrefix="0" xfId="0">
      <alignment horizontal="center" vertical="center"/>
    </xf>
    <xf numFmtId="171" fontId="9" fillId="0" borderId="1" applyAlignment="1" pivotButton="0" quotePrefix="0" xfId="0">
      <alignment horizontal="center" vertical="center"/>
    </xf>
    <xf numFmtId="168" fontId="9" fillId="10" borderId="1" applyAlignment="1" pivotButton="0" quotePrefix="0" xfId="0">
      <alignment horizontal="center" vertical="center" wrapText="1"/>
    </xf>
    <xf numFmtId="169" fontId="9" fillId="10" borderId="1" applyAlignment="1" pivotButton="0" quotePrefix="0" xfId="3">
      <alignment horizontal="center" vertical="center" wrapText="1"/>
    </xf>
    <xf numFmtId="168" fontId="9" fillId="10" borderId="2" applyAlignment="1" pivotButton="0" quotePrefix="0" xfId="0">
      <alignment horizontal="center" vertical="center" wrapText="1"/>
    </xf>
    <xf numFmtId="170" fontId="9" fillId="14" borderId="1" applyAlignment="1" pivotButton="0" quotePrefix="0" xfId="0">
      <alignment horizontal="center" vertical="center" wrapText="1"/>
    </xf>
    <xf numFmtId="168" fontId="2" fillId="9" borderId="0" applyAlignment="1" pivotButton="0" quotePrefix="0" xfId="3">
      <alignment horizontal="center" vertical="center"/>
    </xf>
    <xf numFmtId="169" fontId="2" fillId="3" borderId="0" applyAlignment="1" pivotButton="0" quotePrefix="0" xfId="3">
      <alignment horizontal="center" vertical="center"/>
    </xf>
    <xf numFmtId="169" fontId="4" fillId="9" borderId="0" applyAlignment="1" pivotButton="0" quotePrefix="0" xfId="3">
      <alignment horizontal="center" vertical="center"/>
    </xf>
    <xf numFmtId="168" fontId="9" fillId="9" borderId="1" applyAlignment="1" pivotButton="0" quotePrefix="0" xfId="3">
      <alignment horizontal="center" vertical="center" wrapText="1"/>
    </xf>
    <xf numFmtId="169" fontId="9" fillId="3" borderId="1" applyAlignment="1" pivotButton="0" quotePrefix="0" xfId="3">
      <alignment horizontal="center" vertical="center" wrapText="1"/>
    </xf>
    <xf numFmtId="169" fontId="6" fillId="9" borderId="1" applyAlignment="1" pivotButton="0" quotePrefix="0" xfId="3">
      <alignment horizontal="center" vertical="center" wrapText="1"/>
    </xf>
    <xf numFmtId="168" fontId="10" fillId="9" borderId="1" applyAlignment="1" pivotButton="0" quotePrefix="0" xfId="0">
      <alignment horizontal="center" vertical="center"/>
    </xf>
    <xf numFmtId="169" fontId="10" fillId="3" borderId="1" applyAlignment="1" pivotButton="0" quotePrefix="0" xfId="3">
      <alignment horizontal="center" vertical="center"/>
    </xf>
    <xf numFmtId="168" fontId="2" fillId="0" borderId="0" applyAlignment="1" pivotButton="0" quotePrefix="0" xfId="3">
      <alignment horizontal="center" vertical="center"/>
    </xf>
    <xf numFmtId="169" fontId="2" fillId="0" borderId="0" applyAlignment="1" pivotButton="0" quotePrefix="0" xfId="3">
      <alignment horizontal="center" vertical="center"/>
    </xf>
    <xf numFmtId="168" fontId="9" fillId="5" borderId="1" applyAlignment="1" pivotButton="0" quotePrefix="0" xfId="3">
      <alignment horizontal="center" vertical="center" wrapText="1"/>
    </xf>
    <xf numFmtId="169" fontId="9" fillId="5" borderId="1" applyAlignment="1" pivotButton="0" quotePrefix="0" xfId="3">
      <alignment horizontal="center" vertical="center" wrapText="1"/>
    </xf>
    <xf numFmtId="164" fontId="2" fillId="0" borderId="0" applyAlignment="1" pivotButton="0" quotePrefix="0" xfId="0">
      <alignment horizontal="center" vertical="center"/>
    </xf>
    <xf numFmtId="165" fontId="2" fillId="0" borderId="0" applyAlignment="1" pivotButton="0" quotePrefix="0" xfId="0">
      <alignment horizontal="center" vertical="center"/>
    </xf>
    <xf numFmtId="164" fontId="2" fillId="0" borderId="1" applyAlignment="1" pivotButton="0" quotePrefix="0" xfId="0">
      <alignment horizontal="center" vertical="center"/>
    </xf>
    <xf numFmtId="166" fontId="2" fillId="0" borderId="0" applyAlignment="1" pivotButton="0" quotePrefix="0" xfId="0">
      <alignment horizontal="center" vertical="center"/>
    </xf>
    <xf numFmtId="165" fontId="2" fillId="0" borderId="1" applyAlignment="1" pivotButton="0" quotePrefix="0" xfId="3">
      <alignment horizontal="center" vertical="center"/>
    </xf>
    <xf numFmtId="164" fontId="2" fillId="3" borderId="1" applyAlignment="1" pivotButton="0" quotePrefix="0" xfId="0">
      <alignment horizontal="center" vertical="center" wrapText="1"/>
    </xf>
    <xf numFmtId="165" fontId="2" fillId="0" borderId="0" applyAlignment="1" pivotButton="0" quotePrefix="0" xfId="0">
      <alignment horizontal="center" vertical="center" wrapText="1"/>
    </xf>
    <xf numFmtId="166" fontId="4" fillId="0" borderId="1" applyAlignment="1" pivotButton="0" quotePrefix="0" xfId="0">
      <alignment horizontal="center" vertical="center"/>
    </xf>
    <xf numFmtId="164" fontId="6" fillId="4" borderId="1" applyAlignment="1" pivotButton="0" quotePrefix="0" xfId="0">
      <alignment horizontal="center" vertical="center"/>
    </xf>
    <xf numFmtId="167" fontId="2" fillId="0" borderId="0" applyAlignment="1" pivotButton="0" quotePrefix="0" xfId="0">
      <alignment horizontal="center" vertical="center"/>
    </xf>
    <xf numFmtId="164" fontId="2" fillId="0" borderId="0" applyAlignment="1" pivotButton="0" quotePrefix="0" xfId="0">
      <alignment horizontal="center" vertical="center" wrapText="1"/>
    </xf>
    <xf numFmtId="164" fontId="4"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lstStyle/>
          <a:p>
            <a:pPr>
              <a:defRPr/>
            </a:pPr>
            <a:r>
              <a:t/>
            </a:r>
          </a:p>
        </rich>
      </tx>
      <layout/>
      <overlay val="0"/>
      <spPr>
        <a:noFill/>
        <a:ln>
          <a:noFill/>
          <a:prstDash val="solid"/>
        </a:ln>
      </spPr>
    </title>
    <plotArea>
      <layout/>
      <barChart>
        <barDir val="col"/>
        <grouping val="clustered"/>
        <varyColors val="0"/>
        <ser>
          <idx val="0"/>
          <order val="0"/>
          <tx>
            <strRef>
              <f>广告位可视化!$O$1</f>
              <strCache>
                <ptCount val="1"/>
                <pt idx="0">
                  <v>销售占比</v>
                </pt>
              </strCache>
            </strRef>
          </tx>
          <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forceAA="0"/>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广告位可视化!$B$2:$B$5</f>
              <strCache>
                <ptCount val="4"/>
                <pt idx="0">
                  <v>Placement Product Page</v>
                </pt>
                <pt idx="1">
                  <v>Placement Rest Of Search</v>
                </pt>
                <pt idx="2">
                  <v>Placement Top</v>
                </pt>
                <pt idx="3">
                  <v>Placement Amazon Business</v>
                </pt>
              </strCache>
            </strRef>
          </cat>
          <val>
            <numRef>
              <f>广告位可视化!$O$2:$O$5</f>
              <numCache>
                <formatCode>0.00%</formatCode>
                <ptCount val="4"/>
                <pt idx="0">
                  <v>0.265822429310015</v>
                </pt>
                <pt idx="1">
                  <v>0.573560349779792</v>
                </pt>
                <pt idx="2">
                  <v>0.154921810174252</v>
                </pt>
                <pt idx="3">
                  <v>0.00569541073594179</v>
                </pt>
              </numCache>
            </numRef>
          </val>
        </ser>
        <ser>
          <idx val="1"/>
          <order val="1"/>
          <tx>
            <strRef>
              <f>广告位可视化!$P$1</f>
              <strCache>
                <ptCount val="1"/>
                <pt idx="0">
                  <v>花费占比</v>
                </pt>
              </strCache>
            </strRef>
          </tx>
          <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forceAA="0"/>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广告位可视化!$B$2:$B$5</f>
              <strCache>
                <ptCount val="4"/>
                <pt idx="0">
                  <v>Placement Product Page</v>
                </pt>
                <pt idx="1">
                  <v>Placement Rest Of Search</v>
                </pt>
                <pt idx="2">
                  <v>Placement Top</v>
                </pt>
                <pt idx="3">
                  <v>Placement Amazon Business</v>
                </pt>
              </strCache>
            </strRef>
          </cat>
          <val>
            <numRef>
              <f>广告位可视化!$P$2:$P$5</f>
              <numCache>
                <formatCode>0.00%</formatCode>
                <ptCount val="4"/>
                <pt idx="0">
                  <v>0.32921650236075</v>
                </pt>
                <pt idx="1">
                  <v>0.5173051004060319</v>
                </pt>
                <pt idx="2">
                  <v>0.148138101736868</v>
                </pt>
                <pt idx="3">
                  <v>0.0053402954963508</v>
                </pt>
              </numCache>
            </numRef>
          </val>
        </ser>
        <ser>
          <idx val="2"/>
          <order val="2"/>
          <tx>
            <strRef>
              <f>广告位可视化!$Q$1</f>
              <strCache>
                <ptCount val="1"/>
                <pt idx="0">
                  <v>差值</v>
                </pt>
              </strCache>
            </strRef>
          </tx>
          <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广告位可视化!$B$2:$B$5</f>
              <strCache>
                <ptCount val="4"/>
                <pt idx="0">
                  <v>Placement Product Page</v>
                </pt>
                <pt idx="1">
                  <v>Placement Rest Of Search</v>
                </pt>
                <pt idx="2">
                  <v>Placement Top</v>
                </pt>
                <pt idx="3">
                  <v>Placement Amazon Business</v>
                </pt>
              </strCache>
            </strRef>
          </cat>
          <val>
            <numRef>
              <f>广告位可视化!$Q$2:$Q$5</f>
              <numCache>
                <formatCode>0.00%</formatCode>
                <ptCount val="4"/>
                <pt idx="0">
                  <v>-0.06339407305073499</v>
                </pt>
                <pt idx="1">
                  <v>0.0562552493737598</v>
                </pt>
                <pt idx="2">
                  <v>0.00678370843738407</v>
                </pt>
                <pt idx="3">
                  <v>0.000355115239590991</v>
                </pt>
              </numCache>
            </numRef>
          </val>
        </ser>
        <ser>
          <idx val="3"/>
          <order val="3"/>
          <tx>
            <strRef>
              <f>广告位可视化!$R$1</f>
              <strCache>
                <ptCount val="1"/>
                <pt idx="0">
                  <v>ACoS</v>
                </pt>
              </strCache>
            </strRef>
          </tx>
          <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广告位可视化!$B$2:$B$5</f>
              <strCache>
                <ptCount val="4"/>
                <pt idx="0">
                  <v>Placement Product Page</v>
                </pt>
                <pt idx="1">
                  <v>Placement Rest Of Search</v>
                </pt>
                <pt idx="2">
                  <v>Placement Top</v>
                </pt>
                <pt idx="3">
                  <v>Placement Amazon Business</v>
                </pt>
              </strCache>
            </strRef>
          </cat>
          <val>
            <numRef>
              <f>广告位可视化!$R$2:$R$5</f>
              <numCache>
                <formatCode>0.00%</formatCode>
                <ptCount val="4"/>
                <pt idx="0">
                  <v>0.279769679972339</v>
                </pt>
                <pt idx="1">
                  <v>0.203740942825315</v>
                </pt>
                <pt idx="2">
                  <v>0.216005537335816</v>
                </pt>
                <pt idx="3">
                  <v>0.211812170794576</v>
                </pt>
              </numCache>
            </numRef>
          </val>
        </ser>
        <dLbls>
          <showLegendKey val="0"/>
          <showVal val="1"/>
          <showCatName val="0"/>
          <showSerName val="0"/>
          <showPercent val="0"/>
          <showBubbleSize val="0"/>
        </dLbls>
        <gapWidth val="246"/>
        <overlap val="-28"/>
        <axId val="542945948"/>
        <axId val="594688876"/>
      </barChart>
      <catAx>
        <axId val="542945948"/>
        <scaling>
          <orientation val="minMax"/>
        </scaling>
        <delete val="0"/>
        <axPos val="b"/>
        <numFmt formatCode="General" sourceLinked="1"/>
        <majorTickMark val="none"/>
        <minorTickMark val="none"/>
        <tickLblPos val="nextTo"/>
        <spPr>
          <a:noFill/>
          <a:ln w="6350" cap="flat" cmpd="sng" algn="ctr">
            <a:solidFill>
              <a:schemeClr val="tx1">
                <a:alpha val="25000"/>
                <a:lumMod val="50000"/>
                <a:lumOff val="50000"/>
              </a:schemeClr>
            </a:solidFill>
            <a:prstDash val="solid"/>
            <a:round/>
          </a:ln>
        </spPr>
        <txPr>
          <a:bodyPr rot="-60000000" spcFirstLastPara="0" vertOverflow="ellipsis" vert="horz" wrap="square" anchor="ctr" anchorCtr="1" forceAA="0"/>
          <a:lstStyle/>
          <a:p>
            <a:pPr>
              <a:defRPr lang="zh-CN" sz="9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crossAx val="594688876"/>
        <crosses val="autoZero"/>
        <auto val="1"/>
        <lblAlgn val="ctr"/>
        <lblOffset val="100"/>
        <noMultiLvlLbl val="0"/>
      </catAx>
      <valAx>
        <axId val="594688876"/>
        <scaling>
          <orientation val="minMax"/>
        </scaling>
        <delete val="0"/>
        <axPos val="l"/>
        <majorGridlines>
          <spPr>
            <a:ln w="6350" cap="flat" cmpd="sng" algn="ctr">
              <a:solidFill>
                <a:schemeClr val="tx1">
                  <a:alpha val="25000"/>
                  <a:lumMod val="50000"/>
                  <a:lumOff val="50000"/>
                </a:schemeClr>
              </a:solidFill>
              <a:prstDash val="solid"/>
              <a:round/>
            </a:ln>
          </spPr>
        </majorGridlines>
        <numFmt formatCode="0.00%" sourceLinked="1"/>
        <majorTickMark val="none"/>
        <minorTickMark val="none"/>
        <tickLblPos val="nextTo"/>
        <spPr>
          <a:noFill/>
          <a:ln w="12700" cap="flat" cmpd="sng" algn="ctr">
            <a:noFill/>
            <a:prstDash val="solid"/>
            <a:round/>
          </a:ln>
        </spPr>
        <txPr>
          <a:bodyPr rot="-60000000" spcFirstLastPara="0" vertOverflow="ellipsis" vert="horz" wrap="square" anchor="ctr" anchorCtr="1" forceAA="0"/>
          <a:lstStyle/>
          <a:p>
            <a:pPr>
              <a:defRPr lang="zh-CN" sz="9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crossAx val="542945948"/>
        <crosses val="autoZero"/>
        <crossBetween val="between"/>
      </valAx>
    </plotArea>
    <legend>
      <legendPos val="t"/>
      <layout/>
      <overlay val="0"/>
      <spPr>
        <a:noFill/>
        <a:ln>
          <a:noFill/>
          <a:prstDash val="solid"/>
        </a:ln>
      </spPr>
      <txPr>
        <a:bodyPr rot="0" spcFirstLastPara="0" vertOverflow="ellipsis" vert="horz" wrap="square" anchor="ctr" anchorCtr="1" forceAA="0"/>
        <a:lstStyle/>
        <a:p>
          <a:pPr>
            <a:defRPr lang="zh-CN" sz="9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legend>
    <plotVisOnly val="1"/>
    <dispBlanksAs val="gap"/>
  </chart>
  <spPr>
    <a:solidFill>
      <a:schemeClr val="bg1"/>
    </a:solidFill>
    <a:ln w="6350" cap="flat" cmpd="sng" algn="ctr">
      <a:solidFill>
        <a:schemeClr val="tx1">
          <a:alpha val="25000"/>
          <a:lumMod val="50000"/>
          <a:lumOff val="50000"/>
        </a:schemeClr>
      </a:solidFill>
      <a:prstDash val="solid"/>
      <a:round/>
    </a:ln>
  </spPr>
</chartSpace>
</file>

<file path=xl/charts/chart2.xml><?xml version="1.0" encoding="utf-8"?>
<chartSpace xmlns:a="http://schemas.openxmlformats.org/drawingml/2006/main" xmlns="http://schemas.openxmlformats.org/drawingml/2006/chart">
  <chart>
    <title>
      <tx>
        <rich>
          <a:bodyPr/>
          <a:lstStyle/>
          <a:p>
            <a:pPr>
              <a:defRPr/>
            </a:pPr>
            <a:r>
              <a:t/>
            </a:r>
          </a:p>
        </rich>
      </tx>
      <layout/>
      <overlay val="0"/>
      <spPr>
        <a:noFill/>
        <a:ln>
          <a:noFill/>
          <a:prstDash val="solid"/>
        </a:ln>
      </spPr>
    </title>
    <plotArea>
      <layout/>
      <barChart>
        <barDir val="col"/>
        <grouping val="clustered"/>
        <varyColors val="0"/>
        <ser>
          <idx val="0"/>
          <order val="0"/>
          <tx>
            <strRef>
              <f>广告位可视化!$O$1</f>
              <strCache>
                <ptCount val="1"/>
                <pt idx="0">
                  <v>销售占比</v>
                </pt>
              </strCache>
            </strRef>
          </tx>
          <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forceAA="0"/>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广告位可视化!$B$9:$B$18</f>
              <strCache>
                <ptCount val="10"/>
                <pt idx="0">
                  <v>Exact</v>
                </pt>
                <pt idx="1">
                  <v>Phrase</v>
                </pt>
                <pt idx="2">
                  <v>Broad</v>
                </pt>
                <pt idx="3">
                  <v>asin=</v>
                </pt>
                <pt idx="4">
                  <v>asin-expanded=</v>
                </pt>
                <pt idx="5">
                  <v>category=</v>
                </pt>
                <pt idx="6">
                  <v>complements</v>
                </pt>
                <pt idx="7">
                  <v>loose-match</v>
                </pt>
                <pt idx="8">
                  <v>close-match</v>
                </pt>
                <pt idx="9">
                  <v>substitutes</v>
                </pt>
              </strCache>
            </strRef>
          </cat>
          <val>
            <numRef>
              <f>广告位可视化!$O$9:$O$18</f>
              <numCache>
                <formatCode>0.00%</formatCode>
                <ptCount val="10"/>
                <pt idx="0">
                  <v>0.189018365810199</v>
                </pt>
                <pt idx="1">
                  <v>0.810981634189801</v>
                </pt>
                <pt idx="2">
                  <v>0</v>
                </pt>
                <pt idx="3">
                  <v>0</v>
                </pt>
                <pt idx="4">
                  <v>0</v>
                </pt>
                <pt idx="5">
                  <v>0</v>
                </pt>
                <pt idx="6">
                  <v>0</v>
                </pt>
                <pt idx="7">
                  <v>0</v>
                </pt>
                <pt idx="8">
                  <v>0</v>
                </pt>
                <pt idx="9">
                  <v>0</v>
                </pt>
              </numCache>
            </numRef>
          </val>
        </ser>
        <ser>
          <idx val="1"/>
          <order val="1"/>
          <tx>
            <strRef>
              <f>广告位可视化!$P$1</f>
              <strCache>
                <ptCount val="1"/>
                <pt idx="0">
                  <v>花费占比</v>
                </pt>
              </strCache>
            </strRef>
          </tx>
          <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forceAA="0"/>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广告位可视化!$B$9:$B$18</f>
              <strCache>
                <ptCount val="10"/>
                <pt idx="0">
                  <v>Exact</v>
                </pt>
                <pt idx="1">
                  <v>Phrase</v>
                </pt>
                <pt idx="2">
                  <v>Broad</v>
                </pt>
                <pt idx="3">
                  <v>asin=</v>
                </pt>
                <pt idx="4">
                  <v>asin-expanded=</v>
                </pt>
                <pt idx="5">
                  <v>category=</v>
                </pt>
                <pt idx="6">
                  <v>complements</v>
                </pt>
                <pt idx="7">
                  <v>loose-match</v>
                </pt>
                <pt idx="8">
                  <v>close-match</v>
                </pt>
                <pt idx="9">
                  <v>substitutes</v>
                </pt>
              </strCache>
            </strRef>
          </cat>
          <val>
            <numRef>
              <f>广告位可视化!$P$9:$P$18</f>
              <numCache>
                <formatCode>0.00%</formatCode>
                <ptCount val="10"/>
                <pt idx="0">
                  <v>0.198867176214631</v>
                </pt>
                <pt idx="1">
                  <v>0.801132823785369</v>
                </pt>
                <pt idx="2">
                  <v>0</v>
                </pt>
                <pt idx="3">
                  <v>0</v>
                </pt>
                <pt idx="4">
                  <v>0</v>
                </pt>
                <pt idx="5">
                  <v>0</v>
                </pt>
                <pt idx="6">
                  <v>0</v>
                </pt>
                <pt idx="7">
                  <v>0</v>
                </pt>
                <pt idx="8">
                  <v>0</v>
                </pt>
                <pt idx="9">
                  <v>0</v>
                </pt>
              </numCache>
            </numRef>
          </val>
        </ser>
        <ser>
          <idx val="2"/>
          <order val="2"/>
          <tx>
            <strRef>
              <f>广告位可视化!$Q$1</f>
              <strCache>
                <ptCount val="1"/>
                <pt idx="0">
                  <v>差值</v>
                </pt>
              </strCache>
            </strRef>
          </tx>
          <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广告位可视化!$B$9:$B$18</f>
              <strCache>
                <ptCount val="10"/>
                <pt idx="0">
                  <v>Exact</v>
                </pt>
                <pt idx="1">
                  <v>Phrase</v>
                </pt>
                <pt idx="2">
                  <v>Broad</v>
                </pt>
                <pt idx="3">
                  <v>asin=</v>
                </pt>
                <pt idx="4">
                  <v>asin-expanded=</v>
                </pt>
                <pt idx="5">
                  <v>category=</v>
                </pt>
                <pt idx="6">
                  <v>complements</v>
                </pt>
                <pt idx="7">
                  <v>loose-match</v>
                </pt>
                <pt idx="8">
                  <v>close-match</v>
                </pt>
                <pt idx="9">
                  <v>substitutes</v>
                </pt>
              </strCache>
            </strRef>
          </cat>
          <val>
            <numRef>
              <f>广告位可视化!$Q$9:$Q$18</f>
              <numCache>
                <formatCode>0.00%</formatCode>
                <ptCount val="10"/>
                <pt idx="0">
                  <v>-0.009848810404431699</v>
                </pt>
                <pt idx="1">
                  <v>0.00984881040443175</v>
                </pt>
                <pt idx="2">
                  <v>0</v>
                </pt>
                <pt idx="3">
                  <v>0</v>
                </pt>
                <pt idx="4">
                  <v>0</v>
                </pt>
                <pt idx="5">
                  <v>0</v>
                </pt>
                <pt idx="6">
                  <v>0</v>
                </pt>
                <pt idx="7">
                  <v>0</v>
                </pt>
                <pt idx="8">
                  <v>0</v>
                </pt>
                <pt idx="9">
                  <v>0</v>
                </pt>
              </numCache>
            </numRef>
          </val>
        </ser>
        <ser>
          <idx val="3"/>
          <order val="3"/>
          <tx>
            <strRef>
              <f>广告位可视化!$R$1</f>
              <strCache>
                <ptCount val="1"/>
                <pt idx="0">
                  <v>ACoS</v>
                </pt>
              </strCache>
            </strRef>
          </tx>
          <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zh-CN" sz="10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dLblPos val="outEnd"/>
            <showLegendKey val="0"/>
            <showVal val="1"/>
            <showCatName val="0"/>
            <showSerName val="0"/>
            <showPercent val="0"/>
            <showBubbleSize val="0"/>
            <showLeaderLines val="0"/>
          </dLbls>
          <cat>
            <strRef>
              <f>广告位可视化!$B$9:$B$18</f>
              <strCache>
                <ptCount val="10"/>
                <pt idx="0">
                  <v>Exact</v>
                </pt>
                <pt idx="1">
                  <v>Phrase</v>
                </pt>
                <pt idx="2">
                  <v>Broad</v>
                </pt>
                <pt idx="3">
                  <v>asin=</v>
                </pt>
                <pt idx="4">
                  <v>asin-expanded=</v>
                </pt>
                <pt idx="5">
                  <v>category=</v>
                </pt>
                <pt idx="6">
                  <v>complements</v>
                </pt>
                <pt idx="7">
                  <v>loose-match</v>
                </pt>
                <pt idx="8">
                  <v>close-match</v>
                </pt>
                <pt idx="9">
                  <v>substitutes</v>
                </pt>
              </strCache>
            </strRef>
          </cat>
          <val>
            <numRef>
              <f>广告位可视化!$R$9:$R$18</f>
              <numCache>
                <formatCode>0.00%</formatCode>
                <ptCount val="10"/>
                <pt idx="0">
                  <v>0.240085701676545</v>
                </pt>
                <pt idx="1">
                  <v>0.225424284637492</v>
                </pt>
                <pt idx="2">
                  <v>0</v>
                </pt>
                <pt idx="3">
                  <v>0</v>
                </pt>
                <pt idx="4">
                  <v>0</v>
                </pt>
                <pt idx="5">
                  <v>0</v>
                </pt>
                <pt idx="6">
                  <v>0</v>
                </pt>
                <pt idx="7">
                  <v>0</v>
                </pt>
                <pt idx="8">
                  <v>0</v>
                </pt>
                <pt idx="9">
                  <v>0</v>
                </pt>
              </numCache>
            </numRef>
          </val>
        </ser>
        <dLbls>
          <showLegendKey val="0"/>
          <showVal val="1"/>
          <showCatName val="0"/>
          <showSerName val="0"/>
          <showPercent val="0"/>
          <showBubbleSize val="0"/>
        </dLbls>
        <gapWidth val="246"/>
        <overlap val="-28"/>
        <axId val="542945948"/>
        <axId val="594688876"/>
      </barChart>
      <catAx>
        <axId val="542945948"/>
        <scaling>
          <orientation val="minMax"/>
        </scaling>
        <delete val="0"/>
        <axPos val="b"/>
        <numFmt formatCode="General" sourceLinked="1"/>
        <majorTickMark val="none"/>
        <minorTickMark val="none"/>
        <tickLblPos val="nextTo"/>
        <spPr>
          <a:noFill/>
          <a:ln w="6350" cap="flat" cmpd="sng" algn="ctr">
            <a:solidFill>
              <a:schemeClr val="tx1">
                <a:alpha val="25000"/>
                <a:lumMod val="50000"/>
                <a:lumOff val="50000"/>
              </a:schemeClr>
            </a:solidFill>
            <a:prstDash val="solid"/>
            <a:round/>
          </a:ln>
        </spPr>
        <txPr>
          <a:bodyPr rot="-60000000" spcFirstLastPara="0" vertOverflow="ellipsis" vert="horz" wrap="square" anchor="ctr" anchorCtr="1" forceAA="0"/>
          <a:lstStyle/>
          <a:p>
            <a:pPr>
              <a:defRPr lang="zh-CN" sz="9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crossAx val="594688876"/>
        <crosses val="autoZero"/>
        <auto val="1"/>
        <lblAlgn val="ctr"/>
        <lblOffset val="100"/>
        <noMultiLvlLbl val="0"/>
      </catAx>
      <valAx>
        <axId val="594688876"/>
        <scaling>
          <orientation val="minMax"/>
        </scaling>
        <delete val="0"/>
        <axPos val="l"/>
        <majorGridlines>
          <spPr>
            <a:ln w="6350" cap="flat" cmpd="sng" algn="ctr">
              <a:solidFill>
                <a:schemeClr val="tx1">
                  <a:alpha val="25000"/>
                  <a:lumMod val="50000"/>
                  <a:lumOff val="50000"/>
                </a:schemeClr>
              </a:solidFill>
              <a:prstDash val="solid"/>
              <a:round/>
            </a:ln>
          </spPr>
        </majorGridlines>
        <numFmt formatCode="0.00%" sourceLinked="1"/>
        <majorTickMark val="none"/>
        <minorTickMark val="none"/>
        <tickLblPos val="nextTo"/>
        <spPr>
          <a:noFill/>
          <a:ln w="12700" cap="flat" cmpd="sng" algn="ctr">
            <a:noFill/>
            <a:prstDash val="solid"/>
            <a:round/>
          </a:ln>
        </spPr>
        <txPr>
          <a:bodyPr rot="-60000000" spcFirstLastPara="0" vertOverflow="ellipsis" vert="horz" wrap="square" anchor="ctr" anchorCtr="1" forceAA="0"/>
          <a:lstStyle/>
          <a:p>
            <a:pPr>
              <a:defRPr lang="zh-CN" sz="9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crossAx val="542945948"/>
        <crosses val="autoZero"/>
        <crossBetween val="between"/>
      </valAx>
    </plotArea>
    <legend>
      <legendPos val="t"/>
      <layout/>
      <overlay val="0"/>
      <spPr>
        <a:noFill/>
        <a:ln>
          <a:noFill/>
          <a:prstDash val="solid"/>
        </a:ln>
      </spPr>
      <txPr>
        <a:bodyPr rot="0" spcFirstLastPara="0" vertOverflow="ellipsis" vert="horz" wrap="square" anchor="ctr" anchorCtr="1" forceAA="0"/>
        <a:lstStyle/>
        <a:p>
          <a:pPr>
            <a:defRPr lang="zh-CN" sz="900" b="0" i="0"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t/>
          </a:r>
        </a:p>
      </txPr>
    </legend>
    <plotVisOnly val="1"/>
    <dispBlanksAs val="gap"/>
  </chart>
  <spPr>
    <a:solidFill>
      <a:schemeClr val="bg1"/>
    </a:solidFill>
    <a:ln w="6350" cap="flat" cmpd="sng" algn="ctr">
      <a:solidFill>
        <a:schemeClr val="tx1">
          <a:alpha val="25000"/>
          <a:lumMod val="50000"/>
          <a:lumOff val="50000"/>
        </a:schemeClr>
      </a:solidFill>
      <a:prstDash val="solid"/>
      <a:round/>
    </a:ln>
  </spPr>
</chartSpace>
</file>

<file path=xl/comments/comment1.xml><?xml version="1.0" encoding="utf-8"?>
<comments xmlns="http://schemas.openxmlformats.org/spreadsheetml/2006/main">
  <authors>
    <author>Administrator</author>
  </authors>
  <commentList>
    <comment ref="Q2" authorId="0" shapeId="0">
      <text>
        <t>花费占比</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19</col>
      <colOff>215900</colOff>
      <row>21</row>
      <rowOff>210185</rowOff>
    </from>
    <to>
      <col>29</col>
      <colOff>240665</colOff>
      <row>54</row>
      <rowOff>43180</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76200</colOff>
      <row>21</row>
      <rowOff>141605</rowOff>
    </from>
    <to>
      <col>18</col>
      <colOff>845185</colOff>
      <row>54</row>
      <rowOff>52705</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F46"/>
  <sheetViews>
    <sheetView tabSelected="1" zoomScale="115" zoomScaleNormal="115" workbookViewId="0">
      <pane xSplit="2" ySplit="3" topLeftCell="C4" activePane="bottomRight" state="frozen"/>
      <selection pane="topRight"/>
      <selection pane="bottomLeft"/>
      <selection pane="bottomRight" activeCell="A1" sqref="A1"/>
      <selection pane="topRight" activeCell="A1" sqref="A1"/>
      <selection pane="bottomLeft" activeCell="A1" sqref="A1"/>
      <selection pane="bottomRight" activeCell="I35" sqref="I35"/>
    </sheetView>
  </sheetViews>
  <sheetFormatPr baseColWidth="8" defaultColWidth="8.73076923076923" defaultRowHeight="16.8"/>
  <cols>
    <col width="6" customWidth="1" style="1" min="1" max="1"/>
    <col width="30.8461538461538" customWidth="1" style="1" min="2" max="2"/>
    <col width="36.7692307692308" customWidth="1" style="1" min="3" max="3"/>
    <col width="10.2307692307692" customWidth="1" style="1" min="4" max="4"/>
    <col width="5.69230769230769" customWidth="1" style="1" min="5" max="8"/>
    <col width="8.73076923076923" customWidth="1" style="1" min="9" max="10"/>
    <col width="7.30769230769231" customWidth="1" style="189" min="11" max="11"/>
    <col width="9.69230769230769" customWidth="1" style="1" min="12" max="12"/>
    <col width="13.8461538461538" customWidth="1" style="220" min="13" max="13"/>
    <col width="8.73076923076923" customWidth="1" style="1" min="14" max="14"/>
    <col width="9.69230769230769" customWidth="1" style="1" min="15" max="15"/>
    <col width="9.76923076923077" customWidth="1" style="191" min="16" max="16"/>
    <col width="10.5769230769231" customWidth="1" style="1" min="17" max="17"/>
    <col hidden="1" width="8.73076923076923" customWidth="1" style="1" min="18" max="23"/>
    <col width="12.9230769230769" customWidth="1" style="1" min="24" max="24"/>
    <col width="12.9230769230769" customWidth="1" style="221" min="25" max="25"/>
    <col width="12.9230769230769" customWidth="1" style="1" min="26" max="28"/>
    <col width="12.9230769230769" customWidth="1" style="220" min="29" max="29"/>
    <col width="11.7307692307692" customWidth="1" style="1" min="30" max="30"/>
    <col width="14.8942307692308" customWidth="1" style="1" min="31" max="31"/>
    <col width="20" customWidth="1" style="1" min="32" max="32"/>
    <col width="12.9230769230769" customWidth="1" style="1" min="33" max="34"/>
    <col width="8.73076923076923" customWidth="1" style="1" min="35" max="16383"/>
  </cols>
  <sheetData>
    <row r="1">
      <c r="A1" s="194" t="n"/>
      <c r="B1" s="194" t="inlineStr">
        <is>
          <t>合计</t>
        </is>
      </c>
      <c r="C1" s="194" t="n"/>
      <c r="D1" s="194" t="n"/>
      <c r="E1" s="194" t="n"/>
      <c r="F1" s="194" t="n"/>
      <c r="G1" s="194" t="n"/>
      <c r="H1" s="194" t="n"/>
      <c r="I1" s="194">
        <f>SUM(I4:I48)</f>
        <v/>
      </c>
      <c r="J1" s="194">
        <f>SUM(J4:J48)</f>
        <v/>
      </c>
      <c r="K1" s="199">
        <f>J1/I1</f>
        <v/>
      </c>
      <c r="L1" s="194">
        <f>SUM(L4:L48)</f>
        <v/>
      </c>
      <c r="M1" s="222">
        <f>L1/J1</f>
        <v/>
      </c>
      <c r="N1" s="194">
        <f>SUM(N4:N48)</f>
        <v/>
      </c>
      <c r="O1" s="194">
        <f>SUM(O4:O48)</f>
        <v/>
      </c>
      <c r="P1" s="199">
        <f>L1/O1</f>
        <v/>
      </c>
      <c r="Q1" s="223">
        <f>1/P1</f>
        <v/>
      </c>
      <c r="R1" s="194">
        <f>SUM(R4:R48)</f>
        <v/>
      </c>
      <c r="S1" s="194">
        <f>SUM(S4:S48)</f>
        <v/>
      </c>
      <c r="T1" s="194">
        <f>SUM(T4:T48)</f>
        <v/>
      </c>
      <c r="U1" s="194">
        <f>SUM(U4:U48)</f>
        <v/>
      </c>
      <c r="V1" s="194">
        <f>SUM(V4:V48)</f>
        <v/>
      </c>
      <c r="W1" s="194">
        <f>SUM(W4:W48)</f>
        <v/>
      </c>
      <c r="X1" s="194" t="n"/>
      <c r="Y1" s="224" t="n"/>
      <c r="Z1" s="194" t="n"/>
      <c r="AA1" s="194" t="n"/>
      <c r="AB1" s="194" t="n"/>
      <c r="AC1" s="222" t="n"/>
      <c r="AD1" s="194" t="n"/>
      <c r="AE1" s="194" t="n"/>
      <c r="AF1" s="194" t="n"/>
    </row>
    <row r="2">
      <c r="A2" s="194" t="n"/>
      <c r="B2" s="194" t="inlineStr">
        <is>
          <t>筛选求和</t>
        </is>
      </c>
      <c r="C2" s="194" t="n"/>
      <c r="D2" s="194" t="n"/>
      <c r="E2" s="194" t="n"/>
      <c r="F2" s="194" t="n"/>
      <c r="G2" s="194" t="n"/>
      <c r="H2" s="194" t="n"/>
      <c r="I2" s="194">
        <f>SUBTOTAL(9,I4:I44)</f>
        <v/>
      </c>
      <c r="J2" s="194">
        <f>SUBTOTAL(9,J4:J44)</f>
        <v/>
      </c>
      <c r="K2" s="199">
        <f>J2/I2</f>
        <v/>
      </c>
      <c r="L2" s="194">
        <f>SUBTOTAL(9,L4:L44)</f>
        <v/>
      </c>
      <c r="M2" s="222">
        <f>L2/J2</f>
        <v/>
      </c>
      <c r="N2" s="194">
        <f>SUBTOTAL(9,N4:N44)</f>
        <v/>
      </c>
      <c r="O2" s="194">
        <f>SUBTOTAL(9,O4:O44)</f>
        <v/>
      </c>
      <c r="P2" s="199">
        <f>L2/O2</f>
        <v/>
      </c>
      <c r="Q2" s="223">
        <f>1/P2</f>
        <v/>
      </c>
      <c r="R2" s="194">
        <f>SUBTOTAL(9,R4:R44)</f>
        <v/>
      </c>
      <c r="S2" s="194">
        <f>SUBTOTAL(9,S4:S44)</f>
        <v/>
      </c>
      <c r="T2" s="194">
        <f>SUBTOTAL(9,T4:T44)</f>
        <v/>
      </c>
      <c r="U2" s="194">
        <f>SUBTOTAL(9,U4:U44)</f>
        <v/>
      </c>
      <c r="V2" s="194">
        <f>SUBTOTAL(9,V4:V44)</f>
        <v/>
      </c>
      <c r="W2" s="194">
        <f>SUBTOTAL(9,W4:W44)</f>
        <v/>
      </c>
      <c r="X2" s="194" t="n"/>
      <c r="Y2" s="224" t="n"/>
      <c r="Z2" s="194" t="n"/>
      <c r="AA2" s="194" t="n"/>
      <c r="AB2" s="194" t="n"/>
      <c r="AC2" s="222" t="n"/>
      <c r="AD2" s="194" t="n"/>
      <c r="AE2" s="194" t="n"/>
      <c r="AF2" s="194" t="inlineStr">
        <is>
          <t>需要控制多少预算</t>
        </is>
      </c>
    </row>
    <row r="3" ht="97" customFormat="1" customHeight="1" s="188">
      <c r="A3" s="215" t="inlineStr">
        <is>
          <t>状态</t>
        </is>
      </c>
      <c r="B3" s="215" t="inlineStr">
        <is>
          <t>广告组合</t>
        </is>
      </c>
      <c r="C3" s="215" t="inlineStr">
        <is>
          <t>状态</t>
        </is>
      </c>
      <c r="D3" s="215" t="inlineStr">
        <is>
          <t>预算类型</t>
        </is>
      </c>
      <c r="E3" s="215" t="inlineStr">
        <is>
          <t>预算(USD)</t>
        </is>
      </c>
      <c r="F3" s="215" t="inlineStr">
        <is>
          <t>预算开始日期</t>
        </is>
      </c>
      <c r="G3" s="215" t="inlineStr">
        <is>
          <t>预算结束日期</t>
        </is>
      </c>
      <c r="H3" s="215" t="inlineStr">
        <is>
          <t>广告活动数量</t>
        </is>
      </c>
      <c r="I3" s="215" t="inlineStr">
        <is>
          <t>展示次数</t>
        </is>
      </c>
      <c r="J3" s="215" t="inlineStr">
        <is>
          <t>点击量</t>
        </is>
      </c>
      <c r="K3" s="198" t="inlineStr">
        <is>
          <t>CTR</t>
        </is>
      </c>
      <c r="L3" s="215" t="inlineStr">
        <is>
          <t>支出(USD)</t>
        </is>
      </c>
      <c r="M3" s="225" t="inlineStr">
        <is>
          <t>CPC(USD)</t>
        </is>
      </c>
      <c r="N3" s="215" t="inlineStr">
        <is>
          <t>订单数量</t>
        </is>
      </c>
      <c r="O3" s="215" t="inlineStr">
        <is>
          <t>销量(USD)</t>
        </is>
      </c>
      <c r="P3" s="202" t="inlineStr">
        <is>
          <t>ACOS</t>
        </is>
      </c>
      <c r="Q3" s="226" t="inlineStr">
        <is>
          <t>广告投资回报率 (ROAS)</t>
        </is>
      </c>
      <c r="R3" s="215" t="inlineStr">
        <is>
          <t>NTB 订单数量</t>
        </is>
      </c>
      <c r="S3" s="215" t="inlineStr">
        <is>
          <t>NTB 订单数量百分比</t>
        </is>
      </c>
      <c r="T3" s="215" t="inlineStr">
        <is>
          <t>NTB 销售额(USD)</t>
        </is>
      </c>
      <c r="U3" s="215" t="inlineStr">
        <is>
          <t>品牌新客销售额比例</t>
        </is>
      </c>
      <c r="V3" s="215" t="inlineStr">
        <is>
          <t>可见展示量</t>
        </is>
      </c>
      <c r="W3" s="215" t="inlineStr">
        <is>
          <t>VCPM(USD)</t>
        </is>
      </c>
      <c r="X3" s="227" t="inlineStr">
        <is>
          <t>CVR</t>
        </is>
      </c>
      <c r="Y3" s="228" t="inlineStr">
        <is>
          <t>AVP</t>
        </is>
      </c>
      <c r="Z3" s="227" t="inlineStr">
        <is>
          <t>销售占比</t>
        </is>
      </c>
      <c r="AA3" s="227" t="inlineStr">
        <is>
          <t>花费占比</t>
        </is>
      </c>
      <c r="AB3" s="227" t="inlineStr">
        <is>
          <t>差值</t>
        </is>
      </c>
      <c r="AC3" s="227" t="inlineStr">
        <is>
          <t>日花费</t>
        </is>
      </c>
      <c r="AD3" s="215" t="inlineStr">
        <is>
          <t>组合月预算</t>
        </is>
      </c>
      <c r="AE3" s="215" t="inlineStr">
        <is>
          <t>客单价</t>
        </is>
      </c>
      <c r="AF3" s="216" t="n">
        <v>0.8</v>
      </c>
    </row>
    <row r="4">
      <c r="A4" s="194" t="n"/>
      <c r="B4" s="194" t="n"/>
      <c r="C4" s="194" t="n"/>
      <c r="D4" s="194" t="n"/>
      <c r="E4" s="194" t="n"/>
      <c r="F4" s="196" t="n"/>
      <c r="G4" s="196" t="n"/>
      <c r="H4" s="194" t="n"/>
      <c r="I4" s="194" t="n"/>
      <c r="J4" s="194" t="n"/>
      <c r="K4" s="199" t="n"/>
      <c r="L4" s="194" t="n"/>
      <c r="M4" s="229" t="n"/>
      <c r="N4" s="194" t="n"/>
      <c r="O4" s="194" t="n"/>
      <c r="P4" s="204" t="n"/>
      <c r="Q4" s="230" t="n"/>
      <c r="R4" s="116" t="n"/>
      <c r="S4" s="116" t="n"/>
      <c r="T4" s="116" t="n"/>
      <c r="U4" s="116" t="n"/>
      <c r="V4" s="116" t="n"/>
      <c r="W4" s="116" t="n"/>
      <c r="X4" s="210" t="n"/>
      <c r="Y4" s="231" t="n"/>
      <c r="Z4" s="210" t="n"/>
      <c r="AA4" s="210" t="n"/>
      <c r="AB4" s="210" t="n"/>
      <c r="AC4" s="232" t="n"/>
      <c r="AD4" s="233" t="n"/>
      <c r="AE4" s="230" t="n"/>
      <c r="AF4" s="233" t="n"/>
    </row>
    <row r="5">
      <c r="A5" s="194" t="n"/>
      <c r="B5" s="194" t="n"/>
      <c r="C5" s="194" t="n"/>
      <c r="D5" s="194" t="n"/>
      <c r="E5" s="194" t="n"/>
      <c r="F5" s="194" t="n"/>
      <c r="G5" s="194" t="n"/>
      <c r="H5" s="194" t="n"/>
      <c r="I5" s="194" t="n"/>
      <c r="J5" s="194" t="n"/>
      <c r="K5" s="199" t="n"/>
      <c r="L5" s="194" t="n"/>
      <c r="M5" s="229" t="n"/>
      <c r="N5" s="194" t="n"/>
      <c r="O5" s="194" t="n"/>
      <c r="P5" s="204" t="n"/>
      <c r="Q5" s="230" t="n"/>
      <c r="R5" s="116" t="n"/>
      <c r="S5" s="116" t="n"/>
      <c r="T5" s="116" t="n"/>
      <c r="U5" s="116" t="n"/>
      <c r="V5" s="116" t="n"/>
      <c r="W5" s="116" t="n"/>
      <c r="X5" s="210" t="n"/>
      <c r="Y5" s="231" t="n"/>
      <c r="Z5" s="210" t="n"/>
      <c r="AA5" s="210" t="n"/>
      <c r="AB5" s="214" t="n"/>
      <c r="AC5" s="232" t="n"/>
      <c r="AD5" s="233" t="n"/>
      <c r="AE5" s="230" t="n"/>
      <c r="AF5" s="233" t="n"/>
    </row>
    <row r="6">
      <c r="A6" s="194" t="n"/>
      <c r="B6" s="194" t="n"/>
      <c r="C6" s="194" t="n"/>
      <c r="D6" s="194" t="n"/>
      <c r="E6" s="194" t="n"/>
      <c r="F6" s="194" t="n"/>
      <c r="G6" s="194" t="n"/>
      <c r="H6" s="194" t="n"/>
      <c r="I6" s="194" t="n"/>
      <c r="J6" s="194" t="n"/>
      <c r="K6" s="199" t="n"/>
      <c r="L6" s="194" t="n"/>
      <c r="M6" s="229" t="n"/>
      <c r="N6" s="194" t="n"/>
      <c r="O6" s="194" t="n"/>
      <c r="P6" s="204" t="n"/>
      <c r="Q6" s="230" t="n"/>
      <c r="R6" s="116" t="n"/>
      <c r="S6" s="116" t="n"/>
      <c r="T6" s="116" t="n"/>
      <c r="U6" s="116" t="n"/>
      <c r="V6" s="116" t="n"/>
      <c r="W6" s="116" t="n"/>
      <c r="X6" s="210" t="n"/>
      <c r="Y6" s="231" t="n"/>
      <c r="Z6" s="210" t="n"/>
      <c r="AA6" s="210" t="n"/>
      <c r="AB6" s="210" t="n"/>
      <c r="AC6" s="232" t="n"/>
      <c r="AD6" s="233" t="n"/>
      <c r="AE6" s="230" t="n"/>
      <c r="AF6" s="233" t="n"/>
    </row>
    <row r="7">
      <c r="A7" s="194" t="n"/>
      <c r="B7" s="194" t="n"/>
      <c r="C7" s="194" t="n"/>
      <c r="D7" s="194" t="n"/>
      <c r="E7" s="194" t="n"/>
      <c r="F7" s="194" t="n"/>
      <c r="G7" s="194" t="n"/>
      <c r="H7" s="194" t="n"/>
      <c r="I7" s="194" t="n"/>
      <c r="J7" s="194" t="n"/>
      <c r="K7" s="199" t="n"/>
      <c r="L7" s="194" t="n"/>
      <c r="M7" s="222" t="n"/>
      <c r="N7" s="194" t="n"/>
      <c r="O7" s="194" t="n"/>
      <c r="P7" s="204" t="n"/>
      <c r="Q7" s="230" t="n"/>
      <c r="R7" s="116" t="n"/>
      <c r="S7" s="116" t="n"/>
      <c r="T7" s="116" t="n"/>
      <c r="U7" s="116" t="n"/>
      <c r="V7" s="116" t="n"/>
      <c r="W7" s="116" t="n"/>
      <c r="X7" s="210" t="n"/>
      <c r="Y7" s="231" t="n"/>
      <c r="Z7" s="210" t="n"/>
      <c r="AA7" s="210" t="n"/>
      <c r="AB7" s="210" t="n"/>
      <c r="AC7" s="232" t="n"/>
      <c r="AD7" s="233" t="n"/>
      <c r="AE7" s="230" t="n"/>
      <c r="AF7" s="233" t="n"/>
    </row>
    <row r="8">
      <c r="A8" s="194" t="n"/>
      <c r="B8" s="194" t="n"/>
      <c r="C8" s="194" t="n"/>
      <c r="D8" s="194" t="n"/>
      <c r="E8" s="194" t="n"/>
      <c r="F8" s="194" t="n"/>
      <c r="G8" s="194" t="n"/>
      <c r="H8" s="194" t="n"/>
      <c r="I8" s="194" t="n"/>
      <c r="J8" s="194" t="n"/>
      <c r="K8" s="199" t="n"/>
      <c r="L8" s="194" t="n"/>
      <c r="M8" s="229" t="n"/>
      <c r="N8" s="194" t="n"/>
      <c r="O8" s="194" t="n"/>
      <c r="P8" s="204" t="n"/>
      <c r="Q8" s="230" t="n"/>
      <c r="R8" s="116" t="n"/>
      <c r="S8" s="116" t="n"/>
      <c r="T8" s="116" t="n"/>
      <c r="U8" s="116" t="n"/>
      <c r="V8" s="116" t="n"/>
      <c r="W8" s="116" t="n"/>
      <c r="X8" s="210" t="n"/>
      <c r="Y8" s="231" t="n"/>
      <c r="Z8" s="210" t="n"/>
      <c r="AA8" s="210" t="n"/>
      <c r="AB8" s="210" t="n"/>
      <c r="AC8" s="232" t="n"/>
      <c r="AD8" s="233" t="n"/>
      <c r="AE8" s="230" t="n"/>
      <c r="AF8" s="233" t="n"/>
    </row>
    <row r="9">
      <c r="A9" s="194" t="n"/>
      <c r="B9" s="194" t="n"/>
      <c r="C9" s="194" t="n"/>
      <c r="D9" s="194" t="n"/>
      <c r="E9" s="194" t="n"/>
      <c r="F9" s="194" t="n"/>
      <c r="G9" s="194" t="n"/>
      <c r="H9" s="194" t="n"/>
      <c r="I9" s="194" t="n"/>
      <c r="J9" s="194" t="n"/>
      <c r="K9" s="199" t="n"/>
      <c r="L9" s="194" t="n"/>
      <c r="M9" s="229" t="n"/>
      <c r="N9" s="194" t="n"/>
      <c r="O9" s="194" t="n"/>
      <c r="P9" s="204" t="n"/>
      <c r="Q9" s="230" t="n"/>
      <c r="R9" s="116" t="n"/>
      <c r="S9" s="116" t="n"/>
      <c r="T9" s="116" t="n"/>
      <c r="U9" s="116" t="n"/>
      <c r="V9" s="116" t="n"/>
      <c r="W9" s="116" t="n"/>
      <c r="X9" s="210" t="n"/>
      <c r="Y9" s="231" t="n"/>
      <c r="Z9" s="210" t="n"/>
      <c r="AA9" s="210" t="n"/>
      <c r="AB9" s="210" t="n"/>
      <c r="AC9" s="232" t="n"/>
      <c r="AD9" s="233" t="n"/>
      <c r="AE9" s="230" t="n"/>
      <c r="AF9" s="233" t="n"/>
    </row>
    <row r="10">
      <c r="A10" s="194" t="n"/>
      <c r="B10" s="194" t="n"/>
      <c r="C10" s="194" t="n"/>
      <c r="D10" s="194" t="n"/>
      <c r="E10" s="194" t="n"/>
      <c r="F10" s="194" t="n"/>
      <c r="G10" s="194" t="n"/>
      <c r="H10" s="194" t="n"/>
      <c r="I10" s="194" t="n"/>
      <c r="J10" s="194" t="n"/>
      <c r="K10" s="199" t="n"/>
      <c r="L10" s="194" t="n"/>
      <c r="M10" s="229" t="n"/>
      <c r="N10" s="194" t="n"/>
      <c r="O10" s="194" t="n"/>
      <c r="P10" s="204" t="n"/>
      <c r="Q10" s="230" t="n"/>
      <c r="R10" s="116" t="n"/>
      <c r="S10" s="116" t="n"/>
      <c r="T10" s="116" t="n"/>
      <c r="U10" s="116" t="n"/>
      <c r="V10" s="116" t="n"/>
      <c r="W10" s="116" t="n"/>
      <c r="X10" s="210" t="n"/>
      <c r="Y10" s="231" t="n"/>
      <c r="Z10" s="210" t="n"/>
      <c r="AA10" s="210" t="n"/>
      <c r="AB10" s="210" t="n"/>
      <c r="AC10" s="232" t="n"/>
      <c r="AD10" s="233" t="n"/>
      <c r="AE10" s="230" t="n"/>
      <c r="AF10" s="233" t="n"/>
    </row>
    <row r="11">
      <c r="A11" s="194" t="n"/>
      <c r="B11" s="194" t="n"/>
      <c r="C11" s="194" t="n"/>
      <c r="D11" s="194" t="n"/>
      <c r="E11" s="194" t="n"/>
      <c r="F11" s="194" t="n"/>
      <c r="G11" s="194" t="n"/>
      <c r="H11" s="194" t="n"/>
      <c r="I11" s="194" t="n"/>
      <c r="J11" s="194" t="n"/>
      <c r="K11" s="199" t="n"/>
      <c r="L11" s="194" t="n"/>
      <c r="M11" s="229" t="n"/>
      <c r="N11" s="194" t="n"/>
      <c r="O11" s="194" t="n"/>
      <c r="P11" s="204" t="n"/>
      <c r="Q11" s="230" t="n"/>
      <c r="R11" s="116" t="n"/>
      <c r="S11" s="116" t="n"/>
      <c r="T11" s="116" t="n"/>
      <c r="U11" s="116" t="n"/>
      <c r="V11" s="116" t="n"/>
      <c r="W11" s="116" t="n"/>
      <c r="X11" s="210" t="n"/>
      <c r="Y11" s="231" t="n"/>
      <c r="Z11" s="210" t="n"/>
      <c r="AA11" s="210" t="n"/>
      <c r="AB11" s="210" t="n"/>
      <c r="AC11" s="232" t="n"/>
      <c r="AD11" s="233" t="n"/>
      <c r="AE11" s="230" t="n"/>
      <c r="AF11" s="233" t="n"/>
    </row>
    <row r="12">
      <c r="A12" s="194" t="n"/>
      <c r="B12" s="194" t="n"/>
      <c r="C12" s="194" t="n"/>
      <c r="D12" s="194" t="n"/>
      <c r="E12" s="194" t="n"/>
      <c r="F12" s="194" t="n"/>
      <c r="G12" s="194" t="n"/>
      <c r="H12" s="194" t="n"/>
      <c r="I12" s="194" t="n"/>
      <c r="J12" s="194" t="n"/>
      <c r="K12" s="199" t="n"/>
      <c r="L12" s="194" t="n"/>
      <c r="M12" s="229" t="n"/>
      <c r="N12" s="194" t="n"/>
      <c r="O12" s="194" t="n"/>
      <c r="P12" s="204" t="n"/>
      <c r="Q12" s="230" t="n"/>
      <c r="R12" s="116" t="n"/>
      <c r="S12" s="116" t="n"/>
      <c r="T12" s="116" t="n"/>
      <c r="U12" s="116" t="n"/>
      <c r="V12" s="116" t="n"/>
      <c r="W12" s="116" t="n"/>
      <c r="X12" s="210" t="n"/>
      <c r="Y12" s="231" t="n"/>
      <c r="Z12" s="210" t="n"/>
      <c r="AA12" s="210" t="n"/>
      <c r="AB12" s="210" t="n"/>
      <c r="AC12" s="232" t="n"/>
      <c r="AD12" s="233" t="n"/>
      <c r="AE12" s="230" t="n"/>
      <c r="AF12" s="233" t="n"/>
    </row>
    <row r="13">
      <c r="A13" s="194" t="n"/>
      <c r="B13" s="194" t="n"/>
      <c r="C13" s="194" t="n"/>
      <c r="D13" s="194" t="n"/>
      <c r="E13" s="194" t="n"/>
      <c r="F13" s="194" t="n"/>
      <c r="G13" s="194" t="n"/>
      <c r="H13" s="194" t="n"/>
      <c r="I13" s="194" t="n"/>
      <c r="J13" s="194" t="n"/>
      <c r="K13" s="199" t="n"/>
      <c r="L13" s="194" t="n"/>
      <c r="M13" s="229" t="n"/>
      <c r="N13" s="194" t="n"/>
      <c r="O13" s="194" t="n"/>
      <c r="P13" s="204" t="n"/>
      <c r="Q13" s="230" t="n"/>
      <c r="R13" s="116" t="n"/>
      <c r="S13" s="116" t="n"/>
      <c r="T13" s="116" t="n"/>
      <c r="U13" s="116" t="n"/>
      <c r="V13" s="116" t="n"/>
      <c r="W13" s="116" t="n"/>
      <c r="X13" s="210" t="n"/>
      <c r="Y13" s="231" t="n"/>
      <c r="Z13" s="210" t="n"/>
      <c r="AA13" s="210" t="n"/>
      <c r="AB13" s="210" t="n"/>
      <c r="AC13" s="232" t="n"/>
      <c r="AD13" s="233" t="n"/>
      <c r="AE13" s="230" t="n"/>
      <c r="AF13" s="233" t="n"/>
    </row>
    <row r="14">
      <c r="A14" s="194" t="n"/>
      <c r="B14" s="194" t="n"/>
      <c r="C14" s="194" t="n"/>
      <c r="D14" s="194" t="n"/>
      <c r="E14" s="194" t="n"/>
      <c r="F14" s="194" t="n"/>
      <c r="G14" s="194" t="n"/>
      <c r="H14" s="194" t="n"/>
      <c r="I14" s="194" t="n"/>
      <c r="J14" s="194" t="n"/>
      <c r="K14" s="199" t="n"/>
      <c r="L14" s="194" t="n"/>
      <c r="M14" s="229" t="n"/>
      <c r="N14" s="194" t="n"/>
      <c r="O14" s="194" t="n"/>
      <c r="P14" s="204" t="n"/>
      <c r="Q14" s="230" t="n"/>
      <c r="R14" s="116" t="n"/>
      <c r="S14" s="116" t="n"/>
      <c r="T14" s="116" t="n"/>
      <c r="U14" s="116" t="n"/>
      <c r="V14" s="116" t="n"/>
      <c r="W14" s="116" t="n"/>
      <c r="X14" s="210" t="n"/>
      <c r="Y14" s="231" t="n"/>
      <c r="Z14" s="210" t="n"/>
      <c r="AA14" s="210" t="n"/>
      <c r="AB14" s="210" t="n"/>
      <c r="AC14" s="232" t="n"/>
      <c r="AD14" s="233" t="n"/>
      <c r="AE14" s="230" t="n"/>
      <c r="AF14" s="233" t="n"/>
    </row>
    <row r="15">
      <c r="A15" s="194" t="n"/>
      <c r="B15" s="194" t="n"/>
      <c r="C15" s="194" t="n"/>
      <c r="D15" s="194" t="n"/>
      <c r="E15" s="194" t="n"/>
      <c r="F15" s="194" t="n"/>
      <c r="G15" s="194" t="n"/>
      <c r="H15" s="194" t="n"/>
      <c r="I15" s="194" t="n"/>
      <c r="J15" s="194" t="n"/>
      <c r="K15" s="199" t="n"/>
      <c r="L15" s="194" t="n"/>
      <c r="M15" s="229" t="n"/>
      <c r="N15" s="194" t="n"/>
      <c r="O15" s="194" t="n"/>
      <c r="P15" s="204" t="n"/>
      <c r="Q15" s="230" t="n"/>
      <c r="R15" s="116" t="n"/>
      <c r="S15" s="116" t="n"/>
      <c r="T15" s="116" t="n"/>
      <c r="U15" s="116" t="n"/>
      <c r="V15" s="116" t="n"/>
      <c r="W15" s="116" t="n"/>
      <c r="X15" s="210" t="n"/>
      <c r="Y15" s="231" t="n"/>
      <c r="Z15" s="210" t="n"/>
      <c r="AA15" s="210" t="n"/>
      <c r="AB15" s="210" t="n"/>
      <c r="AC15" s="232" t="n"/>
      <c r="AD15" s="233" t="n"/>
      <c r="AE15" s="230" t="n"/>
      <c r="AF15" s="233" t="n"/>
    </row>
    <row r="16">
      <c r="A16" s="194" t="n"/>
      <c r="B16" s="194" t="n"/>
      <c r="C16" s="194" t="n"/>
      <c r="D16" s="194" t="n"/>
      <c r="E16" s="194" t="n"/>
      <c r="F16" s="194" t="n"/>
      <c r="G16" s="194" t="n"/>
      <c r="H16" s="194" t="n"/>
      <c r="I16" s="194" t="n"/>
      <c r="J16" s="194" t="n"/>
      <c r="K16" s="199" t="n"/>
      <c r="L16" s="194" t="n"/>
      <c r="M16" s="229" t="n"/>
      <c r="N16" s="194" t="n"/>
      <c r="O16" s="194" t="n"/>
      <c r="P16" s="204" t="n"/>
      <c r="Q16" s="230" t="n"/>
      <c r="R16" s="116" t="n"/>
      <c r="S16" s="116" t="n"/>
      <c r="T16" s="116" t="n"/>
      <c r="U16" s="116" t="n"/>
      <c r="V16" s="116" t="n"/>
      <c r="W16" s="116" t="n"/>
      <c r="X16" s="210" t="n"/>
      <c r="Y16" s="231" t="n"/>
      <c r="Z16" s="210" t="n"/>
      <c r="AA16" s="210" t="n"/>
      <c r="AB16" s="210" t="n"/>
      <c r="AC16" s="232" t="n"/>
      <c r="AD16" s="233" t="n"/>
      <c r="AE16" s="230" t="n"/>
      <c r="AF16" s="233" t="n"/>
    </row>
    <row r="17">
      <c r="A17" s="194" t="n"/>
      <c r="B17" s="194" t="n"/>
      <c r="C17" s="194" t="n"/>
      <c r="D17" s="194" t="n"/>
      <c r="E17" s="194" t="n"/>
      <c r="F17" s="194" t="n"/>
      <c r="G17" s="194" t="n"/>
      <c r="H17" s="194" t="n"/>
      <c r="I17" s="194" t="n"/>
      <c r="J17" s="194" t="n"/>
      <c r="K17" s="199" t="n"/>
      <c r="L17" s="194" t="n"/>
      <c r="M17" s="229" t="n"/>
      <c r="N17" s="194" t="n"/>
      <c r="O17" s="194" t="n"/>
      <c r="P17" s="204" t="n"/>
      <c r="Q17" s="223" t="n"/>
      <c r="R17" s="194" t="n"/>
      <c r="S17" s="194" t="n"/>
      <c r="T17" s="194" t="n"/>
      <c r="U17" s="194" t="n"/>
      <c r="V17" s="194" t="n"/>
      <c r="W17" s="194" t="n"/>
      <c r="X17" s="199" t="n"/>
      <c r="Y17" s="224" t="n"/>
      <c r="Z17" s="199" t="n"/>
      <c r="AA17" s="199" t="n"/>
      <c r="AB17" s="199" t="n"/>
      <c r="AC17" s="222" t="n"/>
      <c r="AD17" s="234" t="n"/>
      <c r="AE17" s="223" t="n"/>
      <c r="AF17" s="234" t="n"/>
    </row>
    <row r="18"/>
    <row r="19"/>
    <row r="20">
      <c r="B20" s="194" t="inlineStr">
        <is>
          <t>天数</t>
        </is>
      </c>
      <c r="C20" s="194" t="n">
        <v>30</v>
      </c>
    </row>
    <row r="21">
      <c r="B21" s="194" t="inlineStr">
        <is>
          <t>日花费</t>
        </is>
      </c>
      <c r="C21" s="234">
        <f>IFERROR(L2/C20,0)</f>
        <v/>
      </c>
    </row>
    <row r="27">
      <c r="V27" s="1">
        <f>24-10</f>
        <v/>
      </c>
    </row>
    <row r="36">
      <c r="P36" s="1" t="n"/>
    </row>
    <row r="37">
      <c r="P37" s="1" t="n"/>
    </row>
    <row r="38">
      <c r="P38" s="1" t="n"/>
    </row>
    <row r="39">
      <c r="P39" s="1" t="n"/>
    </row>
    <row r="40">
      <c r="P40" s="1" t="n"/>
    </row>
    <row r="41">
      <c r="P41" s="1" t="n"/>
    </row>
    <row r="42">
      <c r="P42" s="1" t="n"/>
    </row>
    <row r="43">
      <c r="P43" s="1" t="n"/>
    </row>
    <row r="44">
      <c r="P44" s="1" t="n"/>
    </row>
    <row r="45">
      <c r="P45" s="1" t="n"/>
    </row>
    <row r="46">
      <c r="P46" s="1" t="n"/>
    </row>
  </sheetData>
  <autoFilter ref="A3:AF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15"/>
  <sheetViews>
    <sheetView workbookViewId="0">
      <pane xSplit="10" ySplit="14" topLeftCell="K15" activePane="bottomRight" state="frozen"/>
      <selection pane="topRight"/>
      <selection pane="bottomLeft"/>
      <selection pane="bottomRight" activeCell="A1" sqref="A1"/>
      <selection pane="topRight" activeCell="A1" sqref="A1"/>
      <selection pane="bottomLeft" activeCell="A1" sqref="A1"/>
      <selection pane="bottomRight" activeCell="A25" sqref="$A25:$XFD814"/>
    </sheetView>
  </sheetViews>
  <sheetFormatPr baseColWidth="8" defaultColWidth="8.72115384615385" defaultRowHeight="16.8"/>
  <cols>
    <col width="18.6346153846154" customWidth="1" style="235" min="1" max="4"/>
    <col width="23.0673076923077" customWidth="1" style="235" min="29" max="29"/>
    <col width="18.6153846153846" customWidth="1" style="235" min="32" max="32"/>
    <col width="46.1538461538462" customWidth="1" style="235" min="36" max="36"/>
    <col width="11.8461538461538" customWidth="1" style="236" min="44" max="44"/>
    <col width="9.69230769230769" customWidth="1" style="237" min="45" max="45"/>
    <col width="8.92307692307692" customWidth="1" style="159" min="46" max="46"/>
    <col width="9.69230769230769" customWidth="1" style="236" min="47" max="48"/>
    <col width="8.72115384615385" customWidth="1" style="237" min="49" max="50"/>
    <col width="8.92307692307692" customWidth="1" style="159" min="51" max="52"/>
    <col width="8.72115384615385" customWidth="1" style="236" min="53" max="55"/>
    <col width="14.0769230769231" customWidth="1" style="235" min="57" max="57"/>
  </cols>
  <sheetData>
    <row r="1" customFormat="1" s="152">
      <c r="AF1" s="162" t="inlineStr">
        <is>
          <t>Exact</t>
        </is>
      </c>
      <c r="AR1" s="152">
        <f>SUMIF(AF$14:AF$199994,AF1,AR$14:AR$1000006)</f>
        <v/>
      </c>
      <c r="AS1" s="152">
        <f>SUMIF(AF$14:AF$199994,AF1,AS$14:AS$1000004)</f>
        <v/>
      </c>
      <c r="AT1" s="172" t="n"/>
      <c r="AU1" s="152">
        <f>SUMIF(AF$14:AF$199994,AF1,AU$14:AU$200004)</f>
        <v/>
      </c>
      <c r="AV1" s="152">
        <f>SUMIF(AF$14:AF$199994,AF1,AV$14:AV$200004)</f>
        <v/>
      </c>
      <c r="AW1" s="152">
        <f>SUMIF(AF$14:AF$199994,AF1,AW$14:AW$200004)</f>
        <v/>
      </c>
      <c r="AX1" s="238" t="n"/>
      <c r="AY1" s="172" t="n"/>
      <c r="AZ1" s="172" t="n"/>
      <c r="BA1" s="239" t="n"/>
      <c r="BB1" s="239" t="n"/>
      <c r="BC1" s="239" t="n"/>
    </row>
    <row r="2" customFormat="1" s="153">
      <c r="AF2" s="163" t="inlineStr">
        <is>
          <t>Phrase</t>
        </is>
      </c>
      <c r="AR2" s="153">
        <f>SUMIF(AF$14:AF$199994,AF2,AR$14:AR$1000006)</f>
        <v/>
      </c>
      <c r="AS2" s="153">
        <f>SUMIF(AF$14:AF$199994,AF2,AS$14:AS$1000004)</f>
        <v/>
      </c>
      <c r="AT2" s="173" t="n"/>
      <c r="AU2" s="153">
        <f>SUMIF(AF$14:AF$199994,AF2,AU$14:AU$200004)</f>
        <v/>
      </c>
      <c r="AV2" s="153">
        <f>SUMIF(AF$14:AF$199994,AF2,AV$14:AV$200004)</f>
        <v/>
      </c>
      <c r="AW2" s="153">
        <f>SUMIF(AF$14:AF$199994,AF2,AW$14:AW$200004)</f>
        <v/>
      </c>
      <c r="AX2" s="240" t="n"/>
      <c r="AY2" s="173" t="n"/>
      <c r="AZ2" s="173" t="n"/>
      <c r="BA2" s="241" t="n"/>
      <c r="BB2" s="241" t="n"/>
      <c r="BC2" s="241" t="n"/>
    </row>
    <row r="3" customFormat="1" s="152">
      <c r="AF3" s="162" t="inlineStr">
        <is>
          <t>Broad</t>
        </is>
      </c>
      <c r="AR3" s="152">
        <f>SUMIF(AF$14:AF$199994,AF3,AR$14:AR$1000006)</f>
        <v/>
      </c>
      <c r="AS3" s="152">
        <f>SUMIF(AF$14:AF$199994,AF3,AS$14:AS$1000004)</f>
        <v/>
      </c>
      <c r="AT3" s="172" t="n"/>
      <c r="AU3" s="152">
        <f>SUMIF(AF$14:AF$199994,AF3,AU$14:AU$200004)</f>
        <v/>
      </c>
      <c r="AV3" s="152">
        <f>SUMIF(AF$14:AF$199994,AF3,AV$14:AV$200004)</f>
        <v/>
      </c>
      <c r="AW3" s="152">
        <f>SUMIF(AF$14:AF$199994,AF3,AW$14:AW$200004)</f>
        <v/>
      </c>
      <c r="AX3" s="238" t="n"/>
      <c r="AY3" s="172" t="n"/>
      <c r="AZ3" s="172" t="n"/>
      <c r="BA3" s="239" t="n"/>
      <c r="BB3" s="239" t="n"/>
      <c r="BC3" s="239" t="n"/>
    </row>
    <row r="4" customFormat="1" s="153">
      <c r="AF4" s="153" t="inlineStr">
        <is>
          <t>Product Targeting</t>
        </is>
      </c>
      <c r="AR4" s="153">
        <f>SUMIF(B$15:B$199994,AF4,AR$15:AR$200004)</f>
        <v/>
      </c>
      <c r="AS4" s="153">
        <f>SUMIF(B$15:B$199993,AF4,AS$15:AS$200004)</f>
        <v/>
      </c>
      <c r="AT4" s="173" t="n"/>
      <c r="AU4" s="153">
        <f>SUMIF(B$15:B$199993,AF4,AU$15:AU$200004)</f>
        <v/>
      </c>
      <c r="AV4" s="153">
        <f>SUMIF(B$15:B$199993,AF4,AV$15:AV$200004)</f>
        <v/>
      </c>
      <c r="AW4" s="153">
        <f>SUMIF(B$15:B$199993,AF4,AW$15:AW$200004)</f>
        <v/>
      </c>
      <c r="AX4" s="240" t="n"/>
      <c r="AY4" s="173" t="n"/>
      <c r="AZ4" s="173" t="n"/>
      <c r="BA4" s="241" t="n"/>
      <c r="BB4" s="241" t="n"/>
      <c r="BC4" s="241" t="n"/>
    </row>
    <row r="5" customFormat="1" s="152">
      <c r="AF5" s="152" t="inlineStr">
        <is>
          <t>asin=</t>
        </is>
      </c>
      <c r="AR5" s="164">
        <f t="array" ref="AR5">SUM(IF(ISNUMBER(SEARCH($AF$5,$AJ$15:$AJ$100000)),$AR$15:$AR$100000,0))</f>
        <v/>
      </c>
      <c r="AS5" s="164">
        <f t="array" ref="AS5">SUM(IF(ISNUMBER(SEARCH($AF$5,$AJ$15:$AJ$100000)),$AS$15:$AS$100000,0))</f>
        <v/>
      </c>
      <c r="AT5" s="172" t="n"/>
      <c r="AU5" s="164">
        <f t="array" ref="AU5">SUM(IF(ISNUMBER(SEARCH($AF$5,$AJ$15:$AJ$100000)),$AU$15:$AU$100000,0))</f>
        <v/>
      </c>
      <c r="AV5" s="164">
        <f t="array" ref="AV5">SUM(IF(ISNUMBER(SEARCH($AF$5,$AJ$15:$AJ$100000)),$AV$15:$AV$100000,0))</f>
        <v/>
      </c>
      <c r="AW5" s="164">
        <f t="array" ref="AW5">SUM(IF(ISNUMBER(SEARCH($AF$5,$AJ$15:$AJ$100000)),$AW$15:$AW$100000,0))</f>
        <v/>
      </c>
      <c r="AX5" s="238" t="n"/>
      <c r="AY5" s="172" t="n"/>
      <c r="AZ5" s="172" t="n"/>
      <c r="BA5" s="239" t="n"/>
      <c r="BB5" s="239" t="n"/>
      <c r="BC5" s="239" t="n"/>
    </row>
    <row r="6" customFormat="1" s="153">
      <c r="AF6" s="153" t="inlineStr">
        <is>
          <t>asin-expanded=</t>
        </is>
      </c>
      <c r="AR6" s="165">
        <f t="array" ref="AR6">SUM(IF(ISNUMBER(SEARCH(AF6,$AJ$15:$AJ$100000)),$AR$15:$AR$100000,0))</f>
        <v/>
      </c>
      <c r="AS6" s="165">
        <f t="array" ref="AS6">SUM(IF(ISNUMBER(SEARCH($AF$6,$AJ$15:$AJ$100000)),$AS$15:$AS$100000,0))</f>
        <v/>
      </c>
      <c r="AT6" s="173" t="n"/>
      <c r="AU6" s="165">
        <f t="array" ref="AU6">SUM(IF(ISNUMBER(SEARCH($AF$6,$AJ$15:$AJ$100000)),$AU$15:$AU$100000,0))</f>
        <v/>
      </c>
      <c r="AV6" s="165">
        <f t="array" ref="AV6">SUM(IF(ISNUMBER(SEARCH($AF$6,$AJ$15:$AJ$100000)),$AV$15:$AV$100000,0))</f>
        <v/>
      </c>
      <c r="AW6" s="165">
        <f t="array" ref="AW6">SUM(IF(ISNUMBER(SEARCH($AF$6,$AJ$15:$AJ$100000)),$AW$15:$AW$100000,0))</f>
        <v/>
      </c>
      <c r="AX6" s="240" t="n"/>
      <c r="AY6" s="173" t="n"/>
      <c r="AZ6" s="173" t="n"/>
      <c r="BA6" s="241" t="n"/>
      <c r="BB6" s="241" t="n"/>
      <c r="BC6" s="241" t="n"/>
    </row>
    <row r="7" customFormat="1" s="152">
      <c r="AF7" s="152" t="inlineStr">
        <is>
          <t>category=</t>
        </is>
      </c>
      <c r="AR7" s="164">
        <f t="array" ref="AR7">SUM(IF(ISNUMBER(SEARCH(AF7,$AJ$15:$AJ$100000)),$AR$15:$AR$100000,0))</f>
        <v/>
      </c>
      <c r="AS7" s="164">
        <f t="array" ref="AS7">SUM(IF(ISNUMBER(SEARCH($AF$7,$AJ$15:$AJ$100000)),$AS$15:$AS$100000,0))</f>
        <v/>
      </c>
      <c r="AT7" s="172" t="n"/>
      <c r="AU7" s="164">
        <f t="array" ref="AU7">SUM(IF(ISNUMBER(SEARCH($AF$7,$AJ$15:$AJ$100000)),$AU$15:$AU$100000,0))</f>
        <v/>
      </c>
      <c r="AV7" s="164">
        <f t="array" ref="AV7">SUM(IF(ISNUMBER(SEARCH($AF$7,$AJ$15:$AJ$100000)),$AV$15:$AV$100000,0))</f>
        <v/>
      </c>
      <c r="AW7" s="164">
        <f t="array" ref="AW7">SUM(IF(ISNUMBER(SEARCH($AF$7,$AJ$15:$AJ$100000)),$AW$15:$AW$100000,0))</f>
        <v/>
      </c>
      <c r="AX7" s="238" t="n"/>
      <c r="AY7" s="172" t="n"/>
      <c r="AZ7" s="172" t="n"/>
      <c r="BA7" s="239" t="n"/>
      <c r="BB7" s="239" t="n"/>
      <c r="BC7" s="239" t="n"/>
    </row>
    <row r="8" customFormat="1" s="153">
      <c r="AF8" s="153" t="inlineStr">
        <is>
          <t>complements</t>
        </is>
      </c>
      <c r="AR8" s="153">
        <f>SUMIF(AJ$14:AJ$199994,AF8,AR$14:AR$200004)</f>
        <v/>
      </c>
      <c r="AS8" s="153">
        <f>SUMIF(AJ$14:AJ$199993,AF8,AS$14:AS$200004)</f>
        <v/>
      </c>
      <c r="AT8" s="173" t="n"/>
      <c r="AU8" s="153">
        <f>SUMIF(AJ$15:AJ$199996,AF8,AU$15:AU$200004)</f>
        <v/>
      </c>
      <c r="AV8" s="153">
        <f>SUMIF(AJ$15:AJ$199996,AF8,AV$15:AV$200005)</f>
        <v/>
      </c>
      <c r="AW8" s="153">
        <f>SUMIF(AJ$15:AJ$199995,AF8,AW$15:AW$200004)</f>
        <v/>
      </c>
      <c r="AX8" s="240" t="n"/>
      <c r="AY8" s="173" t="n"/>
      <c r="AZ8" s="173" t="n"/>
      <c r="BA8" s="241" t="n"/>
      <c r="BB8" s="241" t="n"/>
      <c r="BC8" s="241" t="n"/>
    </row>
    <row r="9" customFormat="1" s="152">
      <c r="AF9" s="152" t="inlineStr">
        <is>
          <t>loose-match</t>
        </is>
      </c>
      <c r="AR9" s="152">
        <f>SUMIF(AJ$14:AJ$199994,AF9,AR$14:AR$200004)</f>
        <v/>
      </c>
      <c r="AS9" s="152">
        <f>SUMIF(AJ$14:AJ$199993,AF9,AS$14:AS$200004)</f>
        <v/>
      </c>
      <c r="AT9" s="172" t="n"/>
      <c r="AU9" s="152">
        <f>SUMIF(AJ$15:AJ$199993,AF9,AU$15:AU$200004)</f>
        <v/>
      </c>
      <c r="AV9" s="152">
        <f>SUMIF(AJ$15:AJ$199993,AF9,AV$15:AV$200004)</f>
        <v/>
      </c>
      <c r="AW9" s="152">
        <f>SUMIF(AJ$15:AJ$199993,AF9,AW$15:AW$200004)</f>
        <v/>
      </c>
      <c r="AX9" s="238" t="n"/>
      <c r="AY9" s="172" t="n"/>
      <c r="AZ9" s="172" t="n"/>
      <c r="BA9" s="239" t="n"/>
      <c r="BB9" s="239" t="n"/>
      <c r="BC9" s="239" t="n"/>
    </row>
    <row r="10" customFormat="1" s="153">
      <c r="AF10" s="153" t="inlineStr">
        <is>
          <t>close-match</t>
        </is>
      </c>
      <c r="AR10" s="153">
        <f>SUMIF(AJ$14:AJ$199994,AF10,AR$14:AR$200004)</f>
        <v/>
      </c>
      <c r="AS10" s="153">
        <f>SUMIF(AJ$14:AJ$199993,AF10,AS$14:AS$200004)</f>
        <v/>
      </c>
      <c r="AT10" s="173" t="n"/>
      <c r="AU10" s="153">
        <f>SUMIF(AJ$15:AJ$199996,AF10,AU$15:AU$200005)</f>
        <v/>
      </c>
      <c r="AV10" s="153">
        <f>SUMIF(AJ$15:AJ$199993,AF10,AV$15:AV$200004)</f>
        <v/>
      </c>
      <c r="AW10" s="153">
        <f>SUMIF(AJ$15:AJ$199993,AF10,AW$15:AW$200004)</f>
        <v/>
      </c>
      <c r="AX10" s="240" t="n"/>
      <c r="AY10" s="173" t="n"/>
      <c r="AZ10" s="173" t="n"/>
      <c r="BA10" s="241" t="n"/>
      <c r="BB10" s="241" t="n"/>
      <c r="BC10" s="241" t="n"/>
    </row>
    <row r="11" customFormat="1" s="152">
      <c r="AF11" s="152" t="inlineStr">
        <is>
          <t>substitutes</t>
        </is>
      </c>
      <c r="AR11" s="152">
        <f>SUMIF(AJ$14:AJ$199994,AF11,AR$14:AR$200004)</f>
        <v/>
      </c>
      <c r="AS11" s="152">
        <f>SUMIF(AJ$14:AJ$199993,AF11,AS$14:AS$200004)</f>
        <v/>
      </c>
      <c r="AT11" s="172" t="n"/>
      <c r="AU11" s="152">
        <f>SUMIF(AJ$15:AJ$199993,AF11,AU$15:AU$200004)</f>
        <v/>
      </c>
      <c r="AV11" s="152">
        <f>SUMIF(AJ$15:AJ$199993,AF11,AV$15:AV$200004)</f>
        <v/>
      </c>
      <c r="AW11" s="152">
        <f>SUMIF(AJ$15:AJ$199993,AF11,AW$15:AW$200004)</f>
        <v/>
      </c>
      <c r="AX11" s="238" t="n"/>
      <c r="AY11" s="172" t="n"/>
      <c r="AZ11" s="172" t="n"/>
      <c r="BA11" s="239" t="n"/>
      <c r="BB11" s="239" t="n"/>
      <c r="BC11" s="239" t="n"/>
    </row>
    <row r="12" ht="29" customFormat="1" customHeight="1" s="154">
      <c r="AF12" s="154" t="inlineStr">
        <is>
          <t>合计</t>
        </is>
      </c>
      <c r="AR12" s="242">
        <f>SUM(AR15:AR100006)</f>
        <v/>
      </c>
      <c r="AS12" s="242">
        <f>SUM(AS15:AS100006)</f>
        <v/>
      </c>
      <c r="AT12" s="174">
        <f>AS12/AR12</f>
        <v/>
      </c>
      <c r="AU12" s="242">
        <f>SUM(AU15:AU100006)</f>
        <v/>
      </c>
      <c r="AV12" s="242">
        <f>SUM(AV15:AV100006)</f>
        <v/>
      </c>
      <c r="AW12" s="242">
        <f>SUM(AW15:AW100006)</f>
        <v/>
      </c>
      <c r="AX12" s="243" t="n"/>
      <c r="AY12" s="174">
        <f>AW12/AS12</f>
        <v/>
      </c>
      <c r="AZ12" s="174">
        <f>AU12/AV12</f>
        <v/>
      </c>
      <c r="BA12" s="244">
        <f>AU12/AS12</f>
        <v/>
      </c>
      <c r="BB12" s="242" t="n"/>
      <c r="BC12" s="242" t="n"/>
    </row>
    <row r="13" ht="29" customFormat="1" customHeight="1" s="155">
      <c r="A13" s="160" t="n"/>
      <c r="B13" s="160" t="n"/>
      <c r="C13" s="160" t="n"/>
      <c r="D13" s="160" t="n"/>
      <c r="E13" s="160" t="n"/>
      <c r="F13" s="160" t="n"/>
      <c r="G13" s="160" t="n"/>
      <c r="H13" s="160" t="n"/>
      <c r="I13" s="160" t="n"/>
      <c r="J13" s="160" t="n"/>
      <c r="K13" s="160" t="n"/>
      <c r="L13" s="160" t="n"/>
      <c r="M13" s="160" t="n"/>
      <c r="N13" s="160" t="n"/>
      <c r="O13" s="160" t="n"/>
      <c r="P13" s="160" t="n"/>
      <c r="Q13" s="160" t="n"/>
      <c r="R13" s="160" t="n"/>
      <c r="S13" s="160" t="n"/>
      <c r="T13" s="160" t="n"/>
      <c r="U13" s="161" t="n"/>
      <c r="V13" s="160" t="n"/>
      <c r="W13" s="160" t="n"/>
      <c r="X13" s="160" t="n"/>
      <c r="Y13" s="160" t="n"/>
      <c r="Z13" s="161" t="n"/>
      <c r="AA13" s="161" t="n"/>
      <c r="AB13" s="161" t="n"/>
      <c r="AC13" s="160" t="n"/>
      <c r="AD13" s="160" t="n"/>
      <c r="AE13" s="160" t="n"/>
      <c r="AF13" s="160" t="inlineStr">
        <is>
          <t>筛选求和</t>
        </is>
      </c>
      <c r="AG13" s="160" t="n"/>
      <c r="AH13" s="160" t="n"/>
      <c r="AI13" s="161" t="n"/>
      <c r="AJ13" s="160" t="n"/>
      <c r="AK13" s="160" t="n"/>
      <c r="AL13" s="160" t="n"/>
      <c r="AM13" s="160" t="n"/>
      <c r="AN13" s="160" t="n"/>
      <c r="AO13" s="160" t="n"/>
      <c r="AP13" s="160" t="n"/>
      <c r="AQ13" s="160" t="n"/>
      <c r="AR13" s="244">
        <f>SUBTOTAL(9,AR15:AR26618)</f>
        <v/>
      </c>
      <c r="AS13" s="244">
        <f>SUBTOTAL(9,AS15:AS26618)</f>
        <v/>
      </c>
      <c r="AT13" s="174">
        <f>AS13/AR13</f>
        <v/>
      </c>
      <c r="AU13" s="244">
        <f>SUBTOTAL(9,AU15:AU26618)</f>
        <v/>
      </c>
      <c r="AV13" s="244">
        <f>SUBTOTAL(9,AV15:AV26618)</f>
        <v/>
      </c>
      <c r="AW13" s="244">
        <f>SUBTOTAL(9,AW15:AW26618)</f>
        <v/>
      </c>
      <c r="AX13" s="245" t="n"/>
      <c r="AY13" s="174">
        <f>AW13/AS13</f>
        <v/>
      </c>
      <c r="AZ13" s="174">
        <f>AU13/AV13</f>
        <v/>
      </c>
      <c r="BA13" s="244">
        <f>AU13/AS13</f>
        <v/>
      </c>
      <c r="BB13" s="244" t="n"/>
      <c r="BC13" s="186">
        <f>AU13/AU12</f>
        <v/>
      </c>
      <c r="BD13" s="186">
        <f>AV13/AV12</f>
        <v/>
      </c>
      <c r="BE13" s="186">
        <f>BD13-BC13</f>
        <v/>
      </c>
    </row>
    <row r="14" ht="152" customFormat="1" customHeight="1" s="194">
      <c r="A14" s="136" t="inlineStr">
        <is>
          <t>Product</t>
        </is>
      </c>
      <c r="B14" s="136" t="inlineStr">
        <is>
          <t>Entity</t>
        </is>
      </c>
      <c r="C14" s="136" t="inlineStr">
        <is>
          <t>Operation</t>
        </is>
      </c>
      <c r="D14" s="136" t="inlineStr">
        <is>
          <t>Campaign ID</t>
        </is>
      </c>
      <c r="E14" s="136" t="inlineStr">
        <is>
          <t>Ad Group ID</t>
        </is>
      </c>
      <c r="F14" s="136" t="inlineStr">
        <is>
          <t>Portfolio ID</t>
        </is>
      </c>
      <c r="G14" s="136" t="inlineStr">
        <is>
          <t>Ad ID</t>
        </is>
      </c>
      <c r="H14" s="136" t="inlineStr">
        <is>
          <t>Keyword ID</t>
        </is>
      </c>
      <c r="I14" s="136" t="inlineStr">
        <is>
          <t>Product Targeting ID</t>
        </is>
      </c>
      <c r="J14" s="136" t="inlineStr">
        <is>
          <t>Campaign Name</t>
        </is>
      </c>
      <c r="K14" s="136" t="inlineStr">
        <is>
          <t>Ad Group Name</t>
        </is>
      </c>
      <c r="L14" s="138" t="inlineStr">
        <is>
          <t>Campaign Name (Informational only)</t>
        </is>
      </c>
      <c r="M14" s="138" t="inlineStr">
        <is>
          <t>Ad Group Name (Informational only)</t>
        </is>
      </c>
      <c r="N14" s="138" t="inlineStr">
        <is>
          <t>Portfolio Name (Informational only)</t>
        </is>
      </c>
      <c r="O14" s="136" t="inlineStr">
        <is>
          <t>Start Date</t>
        </is>
      </c>
      <c r="P14" s="136" t="inlineStr">
        <is>
          <t>End Date</t>
        </is>
      </c>
      <c r="Q14" s="136" t="inlineStr">
        <is>
          <t>Targeting Type</t>
        </is>
      </c>
      <c r="R14" s="136" t="inlineStr">
        <is>
          <t>State</t>
        </is>
      </c>
      <c r="S14" s="138" t="inlineStr">
        <is>
          <t>Campaign State (Informational only)</t>
        </is>
      </c>
      <c r="T14" s="138" t="inlineStr">
        <is>
          <t>Ad Group State (Informational only)</t>
        </is>
      </c>
      <c r="U14" s="141" t="inlineStr">
        <is>
          <t>Daily Budget</t>
        </is>
      </c>
      <c r="V14" s="136" t="inlineStr">
        <is>
          <t>SKU</t>
        </is>
      </c>
      <c r="W14" s="138" t="inlineStr">
        <is>
          <t>ASIN (Informational only)</t>
        </is>
      </c>
      <c r="X14" s="138" t="inlineStr">
        <is>
          <t>Eligibility Status (Informational only)</t>
        </is>
      </c>
      <c r="Y14" s="138" t="inlineStr">
        <is>
          <t>Reason for Ineligibility (Informational only)</t>
        </is>
      </c>
      <c r="Z14" s="141" t="inlineStr">
        <is>
          <t>Ad Group Default Bid</t>
        </is>
      </c>
      <c r="AA14" s="143" t="inlineStr">
        <is>
          <t>Ad Group Default Bid (Informational only)</t>
        </is>
      </c>
      <c r="AB14" s="141" t="inlineStr">
        <is>
          <t>Bid</t>
        </is>
      </c>
      <c r="AC14" s="136" t="inlineStr">
        <is>
          <t>Keyword Text</t>
        </is>
      </c>
      <c r="AD14" s="136" t="inlineStr">
        <is>
          <t>Native Language Keyword</t>
        </is>
      </c>
      <c r="AE14" s="136" t="inlineStr">
        <is>
          <t>Native Language Locale</t>
        </is>
      </c>
      <c r="AF14" s="136" t="inlineStr">
        <is>
          <t>Match Type</t>
        </is>
      </c>
      <c r="AG14" s="136" t="inlineStr">
        <is>
          <t>Bidding Strategy</t>
        </is>
      </c>
      <c r="AH14" s="136" t="inlineStr">
        <is>
          <t>Placement</t>
        </is>
      </c>
      <c r="AI14" s="141" t="inlineStr">
        <is>
          <t>Percentage</t>
        </is>
      </c>
      <c r="AJ14" s="136" t="inlineStr">
        <is>
          <t>Product Targeting Expression</t>
        </is>
      </c>
      <c r="AK14" s="138" t="inlineStr">
        <is>
          <t>Resolved Product Targeting Expression (Informational only)</t>
        </is>
      </c>
      <c r="AL14" s="138" t="inlineStr">
        <is>
          <t>Audience ID</t>
        </is>
      </c>
      <c r="AM14" s="138" t="inlineStr">
        <is>
          <t>Shopper Cohort Percentage</t>
        </is>
      </c>
      <c r="AN14" s="138" t="inlineStr">
        <is>
          <t>Shopper Cohort Type</t>
        </is>
      </c>
      <c r="AO14" s="138" t="inlineStr">
        <is>
          <t>Segment Name (Informational only)</t>
        </is>
      </c>
      <c r="AP14" s="246" t="inlineStr">
        <is>
          <t>Sites</t>
        </is>
      </c>
      <c r="AQ14" s="246" t="inlineStr">
        <is>
          <t>Off-Amazon ad serving</t>
        </is>
      </c>
      <c r="AR14" s="247" t="inlineStr">
        <is>
          <t>Impressions</t>
        </is>
      </c>
      <c r="AS14" s="175" t="inlineStr">
        <is>
          <t>Clicks</t>
        </is>
      </c>
      <c r="AT14" s="246" t="inlineStr">
        <is>
          <t>Click-through Rate</t>
        </is>
      </c>
      <c r="AU14" s="246" t="inlineStr">
        <is>
          <t>Spend</t>
        </is>
      </c>
      <c r="AV14" s="247" t="inlineStr">
        <is>
          <t>Sales</t>
        </is>
      </c>
      <c r="AW14" s="247" t="inlineStr">
        <is>
          <t>Orders</t>
        </is>
      </c>
      <c r="AX14" s="175" t="inlineStr">
        <is>
          <t>Units</t>
        </is>
      </c>
      <c r="AY14" s="175" t="inlineStr">
        <is>
          <t>Conversion Rate</t>
        </is>
      </c>
      <c r="AZ14" s="246" t="inlineStr">
        <is>
          <t>ACOS</t>
        </is>
      </c>
      <c r="BA14" s="246" t="inlineStr">
        <is>
          <t>CPC</t>
        </is>
      </c>
      <c r="BB14" s="248" t="inlineStr">
        <is>
          <t>ROAS</t>
        </is>
      </c>
      <c r="BC14" s="248" t="n"/>
    </row>
    <row r="15">
      <c r="A15" s="137" t="n"/>
      <c r="B15" s="137" t="n"/>
      <c r="C15" s="137" t="n"/>
      <c r="D15" s="137" t="n"/>
      <c r="E15" s="137" t="n"/>
      <c r="F15" s="137" t="n"/>
      <c r="G15" s="137" t="n"/>
      <c r="H15" s="137" t="n"/>
      <c r="I15" s="137" t="n"/>
      <c r="J15" s="137" t="n"/>
      <c r="K15" s="137" t="n"/>
      <c r="L15" s="139" t="n"/>
      <c r="M15" s="139" t="n"/>
      <c r="N15" s="139" t="n"/>
      <c r="O15" s="137" t="n"/>
      <c r="P15" s="137" t="n"/>
      <c r="Q15" s="137" t="n"/>
      <c r="R15" s="137" t="n"/>
      <c r="S15" s="139" t="n"/>
      <c r="T15" s="139" t="n"/>
      <c r="U15" s="142" t="n"/>
      <c r="V15" s="137" t="n"/>
      <c r="W15" s="139" t="n"/>
      <c r="X15" s="139" t="n"/>
      <c r="Y15" s="139" t="n"/>
      <c r="Z15" s="142" t="n"/>
      <c r="AA15" s="144" t="n"/>
      <c r="AB15" s="142" t="n"/>
      <c r="AC15" s="137" t="n"/>
      <c r="AD15" s="137" t="n"/>
      <c r="AE15" s="137" t="n"/>
      <c r="AF15" s="137" t="n"/>
      <c r="AG15" s="137" t="n"/>
      <c r="AH15" s="137" t="n"/>
      <c r="AI15" s="142" t="n"/>
      <c r="AJ15" s="137" t="n"/>
      <c r="AK15" s="139" t="n"/>
      <c r="AL15" s="139" t="n"/>
      <c r="AM15" s="139" t="n"/>
      <c r="AN15" s="139" t="n"/>
      <c r="AO15" s="139" t="n"/>
      <c r="AP15" s="139" t="n"/>
      <c r="AQ15" s="139" t="n"/>
      <c r="AR15" s="249" t="n"/>
      <c r="AS15" s="249" t="n"/>
      <c r="AT15" s="250" t="n"/>
      <c r="AU15" s="249" t="n"/>
      <c r="AV15" s="249" t="n"/>
      <c r="AW15" s="249" t="n"/>
      <c r="AX15" s="249" t="n"/>
      <c r="AY15" s="182" t="n"/>
      <c r="AZ15" s="182" t="n"/>
      <c r="BA15" s="249" t="n"/>
      <c r="BB15" s="249" t="n"/>
    </row>
  </sheetData>
  <autoFilter ref="A14:BE15"/>
  <conditionalFormatting sqref="AF1">
    <cfRule type="expression" priority="5" dxfId="0">
      <formula>IF($C1="",FALSE,COUNTIF(INDIRECT(SUBSTITUTE(CONCATENATE($A1,$C1,$B1,"RequiredHeaders")," ","")),AF$14)&gt;0)</formula>
    </cfRule>
    <cfRule type="expression" priority="6" dxfId="1">
      <formula>IF($C1="",FALSE,COUNTIF(INDIRECT(SUBSTITUTE(CONCATENATE($A1,$C1,$B1,"OptionalHeaders")," ","")),AF$14)&gt;0)</formula>
    </cfRule>
  </conditionalFormatting>
  <conditionalFormatting sqref="AF2">
    <cfRule type="expression" priority="3" dxfId="0">
      <formula>IF($C2="",FALSE,COUNTIF(INDIRECT(SUBSTITUTE(CONCATENATE($A2,$C2,$B2,"RequiredHeaders")," ","")),AF$14)&gt;0)</formula>
    </cfRule>
    <cfRule type="expression" priority="4" dxfId="1">
      <formula>IF($C2="",FALSE,COUNTIF(INDIRECT(SUBSTITUTE(CONCATENATE($A2,$C2,$B2,"OptionalHeaders")," ","")),AF$14)&gt;0)</formula>
    </cfRule>
  </conditionalFormatting>
  <conditionalFormatting sqref="AF3">
    <cfRule type="expression" priority="1" dxfId="0">
      <formula>IF($C3="",FALSE,COUNTIF(INDIRECT(SUBSTITUTE(CONCATENATE($A3,$C3,$B3,"RequiredHeaders")," ","")),AF$14)&gt;0)</formula>
    </cfRule>
    <cfRule type="expression" priority="2" dxfId="1">
      <formula>IF($C3="",FALSE,COUNTIF(INDIRECT(SUBSTITUTE(CONCATENATE($A3,$C3,$B3,"OptionalHeaders")," ","")),AF$14)&gt;0)</formula>
    </cfRule>
  </conditionalFormatting>
  <conditionalFormatting sqref="D15:AJ26618">
    <cfRule type="expression" priority="7" dxfId="0">
      <formula>IF($C15="",FALSE,COUNTIF(INDIRECT(SUBSTITUTE(CONCATENATE($A15,$C15,$B15,"RequiredHeaders")," ","")),D$14)&gt;0)</formula>
    </cfRule>
  </conditionalFormatting>
  <conditionalFormatting sqref="F15:AI26618">
    <cfRule type="expression" priority="8" dxfId="1">
      <formula>IF($C15="",FALSE,COUNTIF(INDIRECT(SUBSTITUTE(CONCATENATE($A15,$C15,$B15,"OptionalHeaders")," ","")),F$14)&gt;0)</formula>
    </cfRule>
  </conditionalFormatting>
  <dataValidations count="45">
    <dataValidation sqref="AK13:AQ13 AK14:AO14" showDropDown="0" showInputMessage="1" showErrorMessage="0" allowBlank="1" promptTitle="Resolved Product Targeting Expression (Informational only)" prompt="Compare rows in this field with corresponding &quot;product targeting expression&quot; fields to see more information about targeting codes." type="custom">
      <formula1>AK$14="Resolved Product Targeting Expression (Informational only)"</formula1>
    </dataValidation>
    <dataValidation sqref="A13:A14" showDropDown="0" showInputMessage="1" showErrorMessage="0" allowBlank="1" promptTitle="Product" prompt="Enter the sponsored ads campaign type here." type="custom">
      <formula1>A$14="Product"</formula1>
    </dataValidation>
    <dataValidation sqref="A15:A26618" showDropDown="0" showInputMessage="0" showErrorMessage="1" allowBlank="1" errorTitle="Invalid Product" error="Please choose one of the dropdown options." type="list" errorStyle="information">
      <formula1>IF(A$14="Product",INDIRECT("SponsoredProductsProductNames"),"")</formula1>
    </dataValidation>
    <dataValidation sqref="B13:B14" showDropDown="0" showInputMessage="1" showErrorMessage="0" allowBlank="1" promptTitle="Entity" prompt="Select the entity that you want to manage." type="custom">
      <formula1>B$14="Entity"</formula1>
    </dataValidation>
    <dataValidation sqref="B15:B26618" showDropDown="0" showInputMessage="0" showErrorMessage="1" allowBlank="1" errorTitle="Invalid Entity" error="Please choose one of the dropdown options." type="list" errorStyle="information">
      <formula1>IF(B$14="Entity",INDIRECT("SponsoredProductsEntityNames"),"")</formula1>
    </dataValidation>
    <dataValidation sqref="C13:C14"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formula1>C$14="Operation"</formula1>
    </dataValidation>
    <dataValidation sqref="C15:C26618" showDropDown="0" showInputMessage="0" showErrorMessage="1" allowBlank="1" errorTitle="Invalid Operation" error="Please choose one of the dropdown options." type="list" errorStyle="information">
      <formula1>IF(C$14="Operation",INDIRECT("SponsoredProductsOperationNames"),"")</formula1>
    </dataValidation>
    <dataValidation sqref="D13:D14"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formula1>D$14="Campaign Id"</formula1>
    </dataValidation>
    <dataValidation sqref="E13:E14"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formula1>E$14="Ad Group Id"</formula1>
    </dataValidation>
    <dataValidation sqref="F13:F14" showDropDown="0" showInputMessage="1" showErrorMessage="0" allowBlank="1" promptTitle="Portfolio Id" prompt="You can add a campaign to an existing portfolio by adding the Portfolio ID here. The Portfolio must be created in the Portfolio sheet or Ads Console beforehand." type="custom">
      <formula1>F$14="Portfolio Id"</formula1>
    </dataValidation>
    <dataValidation sqref="G13:G14" showDropDown="0" showInputMessage="1" showErrorMessage="0" allowBlank="1" promptTitle="Ad Id" prompt="Ensure Ad ID is entered when updating Product Ad. An ID is not needed in this field if you are creating a new Product Ad." type="custom">
      <formula1>G$14="Ad Id"</formula1>
    </dataValidation>
    <dataValidation sqref="H13:H14" showDropDown="0" showInputMessage="1" showErrorMessage="0" allowBlank="1" promptTitle="Keyword Id" prompt="Ensure Keyword ID is entered when updating Keyword, Negative Keyword, or Campaign Negative Keyword. An ID is not needed in this field if you are creating a new Keyword." type="custom">
      <formula1>H$14="Keyword Id"</formula1>
    </dataValidation>
    <dataValidation sqref="I13:I14"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formula1>I$14="Product Targeting Id"</formula1>
    </dataValidation>
    <dataValidation sqref="J13:J14" showDropDown="0" showInputMessage="1" showErrorMessage="0" allowBlank="1" promptTitle="Campaign Name" prompt="Create or update Campaign Name here. Non-English language is acceptable. Name must not exceed 128 characters." type="custom">
      <formula1>J$14="Campaign Name"</formula1>
    </dataValidation>
    <dataValidation sqref="J15:J26618" showDropDown="0" showInputMessage="1" showErrorMessage="1" allowBlank="1" errorTitle="Invalid Campaign Name" error="Campaign Name can have up to 128 characters. " promptTitle="Campaign Name" prompt="Campaign Name can have up to 128 characters. " type="custom" errorStyle="information">
      <formula1>OR(J$14&lt;&gt;"Campaign Name",AND(LEN($J15)&lt;=128))</formula1>
    </dataValidation>
    <dataValidation sqref="K13:K14" showDropDown="0" showInputMessage="1" showErrorMessage="0" allowBlank="1" promptTitle="Ad Group Name" prompt="Create or update Ad Group Name here. Non-English language is acceptable. Name must not exceed 255 characters." type="custom">
      <formula1>K$14="Ad Group Name"</formula1>
    </dataValidation>
    <dataValidation sqref="K15:K26618" showDropDown="0" showInputMessage="1" showErrorMessage="1" allowBlank="1" errorTitle="Invalid Ad Group Name" error="Ad Group Name can have up to 255 characters. " promptTitle="Ad Group Name" prompt="Ad Group Name can have up to 255 characters. " type="custom" errorStyle="information">
      <formula1>OR(K$14&lt;&gt;"Ad Group Name",AND(LEN($K15)&lt;=255))</formula1>
    </dataValidation>
    <dataValidation sqref="L13:L14" showDropDown="0" showInputMessage="1" showErrorMessage="0" allowBlank="1" promptTitle="Campaign Name (Informational only)" prompt="Gray highlighted fields can help you find information when filters are applied. Editing or removing these columns will not impact bulk upload." type="custom">
      <formula1>L$14="Campaign Name (Informational only)"</formula1>
    </dataValidation>
    <dataValidation sqref="M13:M14" showDropDown="0" showInputMessage="1" showErrorMessage="0" allowBlank="1" promptTitle="Ad Group Name (Informational only)" prompt="Gray highlighted fields can help you find information when filters are applied. Editing or removing these columns will not impact bulk upload." type="custom">
      <formula1>M$14="Ad Group Name (Informational only)"</formula1>
    </dataValidation>
    <dataValidation sqref="N13:N14" showDropDown="0" showInputMessage="1" showErrorMessage="0" allowBlank="1" promptTitle="Portfolio Name (Informational only)" prompt="Gray highlighted fields can help you find information when filters are applied. Editing or removing these columns will not impact bulk upload." type="custom">
      <formula1>N$14="Portfolio Name (Informational only)"</formula1>
    </dataValidation>
    <dataValidation sqref="O13:O14" showDropDown="0" showInputMessage="1" showErrorMessage="0" allowBlank="1" promptTitle="Start Date" prompt="Start date must occur in the future. Use format YYYYMMDD (April 15, 2023 would be 20230415)." type="custom">
      <formula1>O$14="Start Date"</formula1>
    </dataValidation>
    <dataValidation sqref="O15:O26618"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OR(O$14&lt;&gt;"Start Date",AND(LEN($O15)=8,DATEVALUE(REPLACE(REPLACE($O15,7,0,"/"),5,0,"/"))&gt;=TODAY()))</formula1>
    </dataValidation>
    <dataValidation sqref="P13:P14" showDropDown="0" showInputMessage="1" showErrorMessage="0" allowBlank="1" promptTitle="End Date" prompt="Use format YYYYMMDD (April 15, 2023 would be 20230415). If left blank, the campaign will run indefinitely." type="custom">
      <formula1>P$14="End Date"</formula1>
    </dataValidation>
    <dataValidation sqref="P15:P26618"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OR(P$14&lt;&gt;"End Date",AND(OR(LEN($P15)=0,AND(LEN($P15)=8,IFERROR(DATEVALUE(REPLACE(REPLACE($P15,7,0,"/"),5,0,"/")),-1)&gt;=IF(LEN($O15)&lt;&gt;8,0,IFERROR(DATEVALUE(REPLACE(REPLACE($O15,7,0,"/"),5,0,"/")),0))))))</formula1>
    </dataValidation>
    <dataValidation sqref="Q15:Q26618"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10;" type="list" errorStyle="information">
      <formula1>IF(Q$14="Targeting Type",INDIRECT(SUBSTITUTE(CONCATENATE($A15,$C15,$B15,"TargetingTypes")," ","")),"")</formula1>
    </dataValidation>
    <dataValidation sqref="R13:R14" showDropDown="0" showInputMessage="1" showErrorMessage="0" allowBlank="1" promptTitle="State" prompt="Enter a status to create or update entities. You do not need to enter or change a status if you are archiving." type="custom">
      <formula1>R$14="State"</formula1>
    </dataValidation>
    <dataValidation sqref="R15:R26618"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10;" type="list" errorStyle="information">
      <formula1>IF(R$14="State",INDIRECT(SUBSTITUTE(CONCATENATE($A15,$C15,$B15,"States")," ","")),"")</formula1>
    </dataValidation>
    <dataValidation sqref="S13:S14" showDropDown="0" showInputMessage="1" showErrorMessage="0" allowBlank="1" promptTitle="Campaign State (Informational only)" prompt="Gray highlighted fields can help you find information when filters are applied. Editing or removing these columns will not impact bulk upload." type="custom">
      <formula1>S$14="Campaign State (Informational only)"</formula1>
    </dataValidation>
    <dataValidation sqref="T13:T14" showDropDown="0" showInputMessage="1" showErrorMessage="0" allowBlank="1" promptTitle="Ad Group State (Informational only)" prompt="Gray highlighted fields can help you find information when filters are applied. Editing or removing these columns will not impact bulk upload." type="custom">
      <formula1>T$14="Ad Group State (Informational only)"</formula1>
    </dataValidation>
    <dataValidation sqref="U15:U26618" showDropDown="0" showInputMessage="1" showErrorMessage="1" allowBlank="1" errorTitle="Invalid Daily Budget" error="Daily Budget must be between 1 and 1000000 and can have at most 2 decimal places. " promptTitle="Daily Budget" prompt="Daily Budget must be between 1 and 1000000 and can have at most 2 decimal places. " type="custom" errorStyle="information">
      <formula1>OR(U$14&lt;&gt;"Daily Budget",AND(AND($U15&gt;=1,$U15&lt;=1000000),INT($U15*100)=$U15*100))</formula1>
    </dataValidation>
    <dataValidation sqref="V13:V14" showDropDown="0" showInputMessage="1" showErrorMessage="0" allowBlank="1" promptTitle="SKU" prompt="Enter the SKU code to create Product Ads with seller accounts." type="custom">
      <formula1>V$14="SKU"</formula1>
    </dataValidation>
    <dataValidation sqref="W13:W14" showDropDown="0" showInputMessage="1" showErrorMessage="0" allowBlank="1" promptTitle="ASIN (Informational only)" prompt="We display the vendor ASIN codes associated with your seller SKUs for reference." type="custom">
      <formula1>W$14="ASIN (Informational only)"</formula1>
    </dataValidation>
    <dataValidation sqref="X13:X14" showDropDown="0" showInputMessage="1" showErrorMessage="0" allowBlank="1" promptTitle="Eligibility Status (Informational only)" prompt="See the current eligibility status of your advertised ASINs." type="custom">
      <formula1>X$14="Eligibility Status (Informational only)"</formula1>
    </dataValidation>
    <dataValidation sqref="Y13:Y14" showDropDown="0" showInputMessage="1" showErrorMessage="0" allowBlank="1" promptTitle="Reason for ineligibility (Informational only)" prompt="See the reasons why an ASIN is not eligible for ad creation or ad serving." type="custom">
      <formula1>Y$14="Reason for ineligibility (Informational only)"</formula1>
    </dataValidation>
    <dataValidation sqref="Z15:Z26618" showDropDown="0" showInputMessage="1" showErrorMessage="1" allowBlank="1" errorTitle="Invalid Ad Group Default Bid" error="Ad Group Default Bid must be between 0.02 and 1000 and can have at most 2 decimal places. " promptTitle="Ad Group Default Bid" prompt="Ad Group Default Bid must be between 0.02 and 1000 and can have at most 2 decimal places. " type="custom" errorStyle="information">
      <formula1>OR(Z$14&lt;&gt;"Ad Group Default Bid",AND(AND($Z15&gt;=0.02,$Z15&lt;=1000),INT($Z15*100)=$Z15*100))</formula1>
    </dataValidation>
    <dataValidation sqref="AA13:AA14" showDropDown="0" showInputMessage="1" showErrorMessage="0" allowBlank="1" promptTitle="Ad Group Default Bid (Informational only)" prompt="Gray highlighted fields can help you find information when filters are applied. Editing or removing these columns will not impact bulk upload." type="custom">
      <formula1>AA$14="Ad Group Default Bid (Informational only)"</formula1>
    </dataValidation>
    <dataValidation sqref="AB15:AB26618" showDropDown="0" showInputMessage="1" showErrorMessage="1" allowBlank="1" errorTitle="Invalid Bid" error="Bid must be between 0.02 and 1000 and can have at most 2 decimal places. " promptTitle="Bid" prompt="Bid must be between 0.02 and 1000 and can have at most 2 decimal places. " type="custom" errorStyle="information">
      <formula1>OR(AB$14&lt;&gt;"Bid",AND(AND($AB15&gt;=0.02,$AB15&lt;=1000),INT($AB15*100)=$AB15*100))</formula1>
    </dataValidation>
    <dataValidation sqref="AC13:AC14" showDropDown="0" showInputMessage="1" showErrorMessage="0" allowBlank="1" promptTitle="Keyword Text" prompt="Limited to 80 characters max per keyword. Avoid these symbols: slashes, carets, commas, double periods. Non-English language is acceptable." type="custom">
      <formula1>AC$14="Keyword Text"</formula1>
    </dataValidation>
    <dataValidation sqref="AF1:AF3 AF15:AF26618"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10;" type="list" errorStyle="information">
      <formula1>IF(AF$14="Match Type",INDIRECT(SUBSTITUTE(CONCATENATE($A1,$C1,$B1,"MatchTypes")," ","")),"")</formula1>
    </dataValidation>
    <dataValidation sqref="AG15:AG26618"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10;" type="list" errorStyle="information">
      <formula1>IF(AG$14="Bidding Strategy",INDIRECT(SUBSTITUTE(CONCATENATE($A15,$C15,$B15,"Strategys")," ","")),"")</formula1>
    </dataValidation>
    <dataValidation sqref="AH13:AH14" showDropDown="0" showInputMessage="1" showErrorMessage="0" allowBlank="1" promptTitle="Placement" prompt="When creating a bidding adjustment, enter placementTop for top-of-search, or placementProductPage for product page placements." type="custom">
      <formula1>AH$14="Placement"</formula1>
    </dataValidation>
    <dataValidation sqref="AH15:AH26618"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10;" type="list" errorStyle="information">
      <formula1>IF(AH$14="Placement",INDIRECT(SUBSTITUTE(CONCATENATE($A15,$C15,$B15,"Placements")," ","")),"")</formula1>
    </dataValidation>
    <dataValidation sqref="AI13:AI14" showDropDown="0" showInputMessage="1" showErrorMessage="0" allowBlank="1" promptTitle="Percentage" prompt="Enter percent amount to create or update bidding adjustment by placement. Percent symbol (%) isn’t needed (e.g., enter 10.25 if allocating 10.25%)." type="custom">
      <formula1>AI$14="Percentage"</formula1>
    </dataValidation>
    <dataValidation sqref="AI15:AI26618" showDropDown="0" showInputMessage="1" showErrorMessage="1" allowBlank="1" errorTitle="Invalid Percentage" error="Percentage can have at most 2 decimal places. " promptTitle="Percentage" prompt="Percentage can have at most 2 decimal places. " type="custom" errorStyle="information">
      <formula1>OR(AI$14&lt;&gt;"Percentage",AND(INT($AI15*100)=$AI15*100))</formula1>
    </dataValidation>
    <dataValidation sqref="AJ13:AJ14"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formula1>AJ$14="Product Targeting Expression"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zoomScale="70" zoomScaleNormal="70" workbookViewId="0">
      <pane xSplit="13" ySplit="5" topLeftCell="N6" activePane="bottomRight" state="frozen"/>
      <selection pane="topRight"/>
      <selection pane="bottomLeft"/>
      <selection pane="bottomRight" activeCell="A1" sqref="A1"/>
      <selection pane="topRight" activeCell="A1" sqref="A1"/>
      <selection pane="bottomLeft" activeCell="A1" sqref="A1"/>
      <selection pane="bottomRight" activeCell="A10" sqref="$A10:$XFD369"/>
    </sheetView>
  </sheetViews>
  <sheetFormatPr baseColWidth="8" defaultColWidth="9.23076923076923" defaultRowHeight="16.8"/>
  <cols>
    <col width="23.9134615384615" customWidth="1" style="235" min="4" max="4"/>
    <col width="26.6153846153846" customWidth="1" style="235" min="33" max="33"/>
    <col width="28.9230769230769" customWidth="1" style="235" min="34" max="34"/>
    <col width="9.69230769230769" customWidth="1" style="235" min="47" max="48"/>
  </cols>
  <sheetData>
    <row r="1" customFormat="1" s="134">
      <c r="AH1" s="134" t="inlineStr">
        <is>
          <t>Placement Product Page</t>
        </is>
      </c>
      <c r="AR1" s="134">
        <f>SUMIF(AH$6:AH$199986,AH1,AR$6:AR$199996)</f>
        <v/>
      </c>
      <c r="AS1" s="134">
        <f>SUMIF(AH$6:AH$199986,AH1,AS$6:AS$199996)</f>
        <v/>
      </c>
      <c r="AU1" s="134">
        <f>SUMIF(AH$6:AH$199986,AH1,AU$6:AU$199996)</f>
        <v/>
      </c>
      <c r="AV1" s="134">
        <f>SUMIF(AH$6:AH$199986,AH1,AV$6:AV$199996)</f>
        <v/>
      </c>
      <c r="AW1" s="134">
        <f>SUMIF(AH$6:AH$199986,AH1,AW$6:AW$199996)</f>
        <v/>
      </c>
    </row>
    <row r="2" customFormat="1" s="134">
      <c r="AH2" s="134" t="inlineStr">
        <is>
          <t>Placement Rest Of Search</t>
        </is>
      </c>
      <c r="AR2" s="134">
        <f>SUMIF(AH$6:AH$199986,AH2,AR$6:AR$199996)</f>
        <v/>
      </c>
      <c r="AS2" s="134">
        <f>SUMIF(AH$6:AH$199986,AH2,AS$6:AS$199996)</f>
        <v/>
      </c>
      <c r="AU2" s="134">
        <f>SUMIF(AH$6:AH$199986,AH2,AU$6:AU$199996)</f>
        <v/>
      </c>
      <c r="AV2" s="134">
        <f>SUMIF(AH$6:AH$199986,AH2,AV$6:AV$199996)</f>
        <v/>
      </c>
      <c r="AW2" s="134">
        <f>SUMIF(AH$6:AH$199986,AH2,AW$6:AW$199996)</f>
        <v/>
      </c>
    </row>
    <row r="3" customFormat="1" s="134">
      <c r="AH3" s="134" t="inlineStr">
        <is>
          <t>Placement Top</t>
        </is>
      </c>
      <c r="AR3" s="134">
        <f>SUMIF(AH$6:AH$199986,AH3,AR$6:AR$199996)</f>
        <v/>
      </c>
      <c r="AS3" s="134">
        <f>SUMIF(AH$6:AH$199986,AH3,AS$6:AS$199996)</f>
        <v/>
      </c>
      <c r="AU3" s="134">
        <f>SUMIF(AH$6:AH$199986,AH3,AU$6:AU$199996)</f>
        <v/>
      </c>
      <c r="AV3" s="134">
        <f>SUMIF(AH$6:AH$199986,AH3,AV$6:AV$199996)</f>
        <v/>
      </c>
      <c r="AW3" s="134">
        <f>SUMIF(AH$6:AH$199986,AH3,AW$6:AW$199996)</f>
        <v/>
      </c>
    </row>
    <row r="4" customFormat="1" s="134">
      <c r="AH4" s="134" t="inlineStr">
        <is>
          <t>Placement Amazon Business</t>
        </is>
      </c>
      <c r="AR4" s="134">
        <f>SUMIF(AH$6:AH$199986,AH4,AR$6:AR$199996)</f>
        <v/>
      </c>
      <c r="AS4" s="134">
        <f>SUMIF(AH$6:AH$199986,AH4,AS$6:AS$199996)</f>
        <v/>
      </c>
      <c r="AU4" s="134">
        <f>SUMIF(AH$6:AH$199986,AH4,AU$6:AU$199996)</f>
        <v/>
      </c>
      <c r="AV4" s="134">
        <f>SUMIF(AH$6:AH$199986,AH4,AV$6:AV$199996)</f>
        <v/>
      </c>
      <c r="AW4" s="134">
        <f>SUMIF(AH$6:AH$199986,AH4,AW$6:AW$199996)</f>
        <v/>
      </c>
    </row>
    <row r="5" ht="134" customFormat="1" customHeight="1" s="135">
      <c r="A5" s="136" t="inlineStr">
        <is>
          <t>Product</t>
        </is>
      </c>
      <c r="B5" s="136" t="inlineStr">
        <is>
          <t>Entity</t>
        </is>
      </c>
      <c r="C5" s="136" t="inlineStr">
        <is>
          <t>Operation</t>
        </is>
      </c>
      <c r="D5" s="136" t="inlineStr">
        <is>
          <t>Campaign ID</t>
        </is>
      </c>
      <c r="E5" s="136" t="inlineStr">
        <is>
          <t>Ad Group ID</t>
        </is>
      </c>
      <c r="F5" s="136" t="inlineStr">
        <is>
          <t>Portfolio ID</t>
        </is>
      </c>
      <c r="G5" s="136" t="inlineStr">
        <is>
          <t>Ad ID</t>
        </is>
      </c>
      <c r="H5" s="136" t="inlineStr">
        <is>
          <t>Keyword ID</t>
        </is>
      </c>
      <c r="I5" s="136" t="inlineStr">
        <is>
          <t>Product Targeting ID</t>
        </is>
      </c>
      <c r="J5" s="136" t="inlineStr">
        <is>
          <t>Campaign Name</t>
        </is>
      </c>
      <c r="K5" s="136" t="inlineStr">
        <is>
          <t>Ad Group Name</t>
        </is>
      </c>
      <c r="L5" s="138" t="inlineStr">
        <is>
          <t>Campaign Name (Informational only)</t>
        </is>
      </c>
      <c r="M5" s="138" t="inlineStr">
        <is>
          <t>Ad Group Name (Informational only)</t>
        </is>
      </c>
      <c r="N5" s="138" t="inlineStr">
        <is>
          <t>Portfolio Name (Informational only)</t>
        </is>
      </c>
      <c r="O5" s="136" t="inlineStr">
        <is>
          <t>Start Date</t>
        </is>
      </c>
      <c r="P5" s="136" t="inlineStr">
        <is>
          <t>End Date</t>
        </is>
      </c>
      <c r="Q5" s="136" t="inlineStr">
        <is>
          <t>Targeting Type</t>
        </is>
      </c>
      <c r="R5" s="136" t="inlineStr">
        <is>
          <t>State</t>
        </is>
      </c>
      <c r="S5" s="138" t="inlineStr">
        <is>
          <t>Campaign State (Informational only)</t>
        </is>
      </c>
      <c r="T5" s="138" t="inlineStr">
        <is>
          <t>Ad Group State (Informational only)</t>
        </is>
      </c>
      <c r="U5" s="141" t="inlineStr">
        <is>
          <t>Daily Budget</t>
        </is>
      </c>
      <c r="V5" s="136" t="inlineStr">
        <is>
          <t>SKU</t>
        </is>
      </c>
      <c r="W5" s="138" t="inlineStr">
        <is>
          <t>ASIN (Informational only)</t>
        </is>
      </c>
      <c r="X5" s="138" t="inlineStr">
        <is>
          <t>Eligibility Status (Informational only)</t>
        </is>
      </c>
      <c r="Y5" s="138" t="inlineStr">
        <is>
          <t>Reason for Ineligibility (Informational only)</t>
        </is>
      </c>
      <c r="Z5" s="141" t="inlineStr">
        <is>
          <t>Ad Group Default Bid</t>
        </is>
      </c>
      <c r="AA5" s="143" t="inlineStr">
        <is>
          <t>Ad Group Default Bid (Informational only)</t>
        </is>
      </c>
      <c r="AB5" s="141" t="inlineStr">
        <is>
          <t>Bid</t>
        </is>
      </c>
      <c r="AC5" s="136" t="inlineStr">
        <is>
          <t>Keyword Text</t>
        </is>
      </c>
      <c r="AD5" s="136" t="inlineStr">
        <is>
          <t>Native Language Keyword</t>
        </is>
      </c>
      <c r="AE5" s="136" t="inlineStr">
        <is>
          <t>Native Language Locale</t>
        </is>
      </c>
      <c r="AF5" s="136" t="inlineStr">
        <is>
          <t>Match Type</t>
        </is>
      </c>
      <c r="AG5" s="136" t="inlineStr">
        <is>
          <t>Bidding Strategy</t>
        </is>
      </c>
      <c r="AH5" s="136" t="inlineStr">
        <is>
          <t>Placement</t>
        </is>
      </c>
      <c r="AI5" s="141" t="inlineStr">
        <is>
          <t>Percentage</t>
        </is>
      </c>
      <c r="AJ5" s="136" t="inlineStr">
        <is>
          <t>Product Targeting Expression</t>
        </is>
      </c>
      <c r="AK5" s="138" t="inlineStr">
        <is>
          <t>Resolved Product Targeting Expression (Informational only)</t>
        </is>
      </c>
      <c r="AL5" s="138" t="inlineStr">
        <is>
          <t>Audience ID</t>
        </is>
      </c>
      <c r="AM5" s="138" t="inlineStr">
        <is>
          <t>Shopper Cohort Percentage</t>
        </is>
      </c>
      <c r="AN5" s="138" t="inlineStr">
        <is>
          <t>Shopper Cohort Type</t>
        </is>
      </c>
      <c r="AO5" s="138" t="inlineStr">
        <is>
          <t>Segment Name (Informational only)</t>
        </is>
      </c>
      <c r="AP5" s="138" t="inlineStr">
        <is>
          <t>Sites</t>
        </is>
      </c>
      <c r="AQ5" s="138" t="inlineStr">
        <is>
          <t>Off-Amazon ad serving</t>
        </is>
      </c>
      <c r="AR5" s="146" t="inlineStr">
        <is>
          <t>Impressions</t>
        </is>
      </c>
      <c r="AS5" s="146" t="inlineStr">
        <is>
          <t>Clicks</t>
        </is>
      </c>
      <c r="AT5" s="149" t="inlineStr">
        <is>
          <t>Click-through Rate</t>
        </is>
      </c>
      <c r="AU5" s="143" t="inlineStr">
        <is>
          <t>Spend</t>
        </is>
      </c>
      <c r="AV5" s="143" t="inlineStr">
        <is>
          <t>Sales</t>
        </is>
      </c>
      <c r="AW5" s="146" t="inlineStr">
        <is>
          <t>Orders</t>
        </is>
      </c>
      <c r="AX5" s="146" t="inlineStr">
        <is>
          <t>Units</t>
        </is>
      </c>
      <c r="AY5" s="149" t="inlineStr">
        <is>
          <t>Conversion Rate</t>
        </is>
      </c>
      <c r="AZ5" s="149" t="inlineStr">
        <is>
          <t>ACOS</t>
        </is>
      </c>
      <c r="BA5" s="143" t="inlineStr">
        <is>
          <t>CPC</t>
        </is>
      </c>
      <c r="BB5" s="143" t="inlineStr">
        <is>
          <t>ROAS</t>
        </is>
      </c>
    </row>
    <row r="6">
      <c r="A6" s="137" t="n"/>
      <c r="B6" s="137" t="n"/>
      <c r="C6" s="137" t="n"/>
      <c r="D6" s="137" t="n"/>
      <c r="E6" s="137" t="n"/>
      <c r="F6" s="137" t="n"/>
      <c r="G6" s="137" t="n"/>
      <c r="H6" s="137" t="n"/>
      <c r="I6" s="137" t="n"/>
      <c r="J6" s="137" t="n"/>
      <c r="K6" s="137" t="n"/>
      <c r="L6" s="139" t="n"/>
      <c r="M6" s="139" t="n"/>
      <c r="N6" s="139" t="n"/>
      <c r="O6" s="137" t="n"/>
      <c r="P6" s="137" t="n"/>
      <c r="Q6" s="137" t="n"/>
      <c r="R6" s="137" t="n"/>
      <c r="S6" s="139" t="n"/>
      <c r="T6" s="139" t="n"/>
      <c r="U6" s="142" t="n"/>
      <c r="V6" s="137" t="n"/>
      <c r="W6" s="139" t="n"/>
      <c r="X6" s="139" t="n"/>
      <c r="Y6" s="139" t="n"/>
      <c r="Z6" s="142" t="n"/>
      <c r="AA6" s="144" t="n"/>
      <c r="AB6" s="142" t="n"/>
      <c r="AC6" s="137" t="n"/>
      <c r="AD6" s="137" t="n"/>
      <c r="AE6" s="137" t="n"/>
      <c r="AF6" s="137" t="n"/>
      <c r="AG6" s="137" t="n"/>
      <c r="AH6" s="137" t="n"/>
      <c r="AI6" s="142" t="n"/>
      <c r="AJ6" s="137" t="n"/>
      <c r="AK6" s="139" t="n"/>
      <c r="AL6" s="139" t="n"/>
      <c r="AM6" s="139" t="n"/>
      <c r="AN6" s="139" t="n"/>
      <c r="AO6" s="139" t="n"/>
      <c r="AP6" s="139" t="n"/>
      <c r="AQ6" s="139" t="n"/>
      <c r="AR6" s="147" t="n"/>
      <c r="AS6" s="147" t="n"/>
      <c r="AT6" s="150" t="n"/>
      <c r="AU6" s="144" t="n"/>
      <c r="AV6" s="144" t="n"/>
      <c r="AW6" s="147" t="n"/>
      <c r="AX6" s="147" t="n"/>
      <c r="AY6" s="150" t="n"/>
      <c r="AZ6" s="150" t="n"/>
      <c r="BA6" s="144" t="n"/>
      <c r="BB6" s="144" t="n"/>
    </row>
  </sheetData>
  <autoFilter ref="A5:BB6"/>
  <conditionalFormatting sqref="D6:AJ897">
    <cfRule type="expression" priority="1" dxfId="0">
      <formula>IF($C6="",FALSE,COUNTIF(INDIRECT(SUBSTITUTE(CONCATENATE($A6,$C6,$B6,"RequiredHeaders")," ","")),D$5)&gt;0)</formula>
    </cfRule>
  </conditionalFormatting>
  <conditionalFormatting sqref="F6:AI897">
    <cfRule type="expression" priority="2" dxfId="1">
      <formula>IF($C6="",FALSE,COUNTIF(INDIRECT(SUBSTITUTE(CONCATENATE($A6,$C6,$B6,"OptionalHeaders")," ","")),F$5)&gt;0)</formula>
    </cfRule>
  </conditionalFormatting>
  <dataValidations count="45">
    <dataValidation sqref="A5" showDropDown="0" showInputMessage="1" showErrorMessage="0" allowBlank="1" promptTitle="Product" prompt="Enter the sponsored ads campaign type here." type="custom">
      <formula1>A$5="Product"</formula1>
    </dataValidation>
    <dataValidation sqref="B5" showDropDown="0" showInputMessage="1" showErrorMessage="0" allowBlank="1" promptTitle="Entity" prompt="Select the entity that you want to manage." type="custom">
      <formula1>B$5="Entity"</formula1>
    </dataValidation>
    <dataValidation sqref="C5"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formula1>C$5="Operation"</formula1>
    </dataValidation>
    <dataValidation sqref="D5"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formula1>D$5="Campaign Id"</formula1>
    </dataValidation>
    <dataValidation sqref="E5"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formula1>E$5="Ad Group Id"</formula1>
    </dataValidation>
    <dataValidation sqref="F5" showDropDown="0" showInputMessage="1" showErrorMessage="0" allowBlank="1" promptTitle="Portfolio Id" prompt="You can add a campaign to an existing portfolio by adding the Portfolio ID here. The Portfolio must be created in the Portfolio sheet or Ads Console beforehand." type="custom">
      <formula1>F$5="Portfolio Id"</formula1>
    </dataValidation>
    <dataValidation sqref="G5" showDropDown="0" showInputMessage="1" showErrorMessage="0" allowBlank="1" promptTitle="Ad Id" prompt="Ensure Ad ID is entered when updating Product Ad. An ID is not needed in this field if you are creating a new Product Ad." type="custom">
      <formula1>G$5="Ad Id"</formula1>
    </dataValidation>
    <dataValidation sqref="H5" showDropDown="0" showInputMessage="1" showErrorMessage="0" allowBlank="1" promptTitle="Keyword Id" prompt="Ensure Keyword ID is entered when updating Keyword, Negative Keyword, or Campaign Negative Keyword. An ID is not needed in this field if you are creating a new Keyword." type="custom">
      <formula1>H$5="Keyword Id"</formula1>
    </dataValidation>
    <dataValidation sqref="I5"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formula1>I$5="Product Targeting Id"</formula1>
    </dataValidation>
    <dataValidation sqref="J5" showDropDown="0" showInputMessage="1" showErrorMessage="0" allowBlank="1" promptTitle="Campaign Name" prompt="Create or update Campaign Name here. Non-English language is acceptable. Name must not exceed 128 characters." type="custom">
      <formula1>J$5="Campaign Name"</formula1>
    </dataValidation>
    <dataValidation sqref="K5" showDropDown="0" showInputMessage="1" showErrorMessage="0" allowBlank="1" promptTitle="Ad Group Name" prompt="Create or update Ad Group Name here. Non-English language is acceptable. Name must not exceed 255 characters." type="custom">
      <formula1>K$5="Ad Group Name"</formula1>
    </dataValidation>
    <dataValidation sqref="L5" showDropDown="0" showInputMessage="1" showErrorMessage="0" allowBlank="1" promptTitle="Campaign Name (Informational only)" prompt="Gray highlighted fields can help you find information when filters are applied. Editing or removing these columns will not impact bulk upload." type="custom">
      <formula1>L$5="Campaign Name (Informational only)"</formula1>
    </dataValidation>
    <dataValidation sqref="M5" showDropDown="0" showInputMessage="1" showErrorMessage="0" allowBlank="1" promptTitle="Ad Group Name (Informational only)" prompt="Gray highlighted fields can help you find information when filters are applied. Editing or removing these columns will not impact bulk upload." type="custom">
      <formula1>M$5="Ad Group Name (Informational only)"</formula1>
    </dataValidation>
    <dataValidation sqref="N5" showDropDown="0" showInputMessage="1" showErrorMessage="0" allowBlank="1" promptTitle="Portfolio Name (Informational only)" prompt="Gray highlighted fields can help you find information when filters are applied. Editing or removing these columns will not impact bulk upload." type="custom">
      <formula1>N$5="Portfolio Name (Informational only)"</formula1>
    </dataValidation>
    <dataValidation sqref="O5" showDropDown="0" showInputMessage="1" showErrorMessage="0" allowBlank="1" promptTitle="Start Date" prompt="Start date must occur in the future. Use format YYYYMMDD (April 15, 2023 would be 20230415)." type="custom">
      <formula1>O$5="Start Date"</formula1>
    </dataValidation>
    <dataValidation sqref="P5" showDropDown="0" showInputMessage="1" showErrorMessage="0" allowBlank="1" promptTitle="End Date" prompt="Use format YYYYMMDD (April 15, 2023 would be 20230415). If left blank, the campaign will run indefinitely." type="custom">
      <formula1>P$5="End Date"</formula1>
    </dataValidation>
    <dataValidation sqref="R5" showDropDown="0" showInputMessage="1" showErrorMessage="0" allowBlank="1" promptTitle="State" prompt="Enter a status to create or update entities. You do not need to enter or change a status if you are archiving." type="custom">
      <formula1>R$5="State"</formula1>
    </dataValidation>
    <dataValidation sqref="S5" showDropDown="0" showInputMessage="1" showErrorMessage="0" allowBlank="1" promptTitle="Campaign State (Informational only)" prompt="Gray highlighted fields can help you find information when filters are applied. Editing or removing these columns will not impact bulk upload." type="custom">
      <formula1>S$5="Campaign State (Informational only)"</formula1>
    </dataValidation>
    <dataValidation sqref="T5" showDropDown="0" showInputMessage="1" showErrorMessage="0" allowBlank="1" promptTitle="Ad Group State (Informational only)" prompt="Gray highlighted fields can help you find information when filters are applied. Editing or removing these columns will not impact bulk upload." type="custom">
      <formula1>T$5="Ad Group State (Informational only)"</formula1>
    </dataValidation>
    <dataValidation sqref="V5" showDropDown="0" showInputMessage="1" showErrorMessage="0" allowBlank="1" promptTitle="SKU" prompt="Enter the SKU code to create Product Ads with seller accounts." type="custom">
      <formula1>V$5="SKU"</formula1>
    </dataValidation>
    <dataValidation sqref="W5" showDropDown="0" showInputMessage="1" showErrorMessage="0" allowBlank="1" promptTitle="ASIN (Informational only)" prompt="We display the vendor ASIN codes associated with your seller SKUs for reference." type="custom">
      <formula1>W$5="ASIN (Informational only)"</formula1>
    </dataValidation>
    <dataValidation sqref="X5" showDropDown="0" showInputMessage="1" showErrorMessage="0" allowBlank="1" promptTitle="Eligibility Status (Informational only)" prompt="See the current eligibility status of your advertised ASINs." type="custom">
      <formula1>X$5="Eligibility Status (Informational only)"</formula1>
    </dataValidation>
    <dataValidation sqref="Y5" showDropDown="0" showInputMessage="1" showErrorMessage="0" allowBlank="1" promptTitle="Reason for ineligibility (Informational only)" prompt="See the reasons why an ASIN is not eligible for ad creation or ad serving." type="custom">
      <formula1>Y$5="Reason for ineligibility (Informational only)"</formula1>
    </dataValidation>
    <dataValidation sqref="AA5" showDropDown="0" showInputMessage="1" showErrorMessage="0" allowBlank="1" promptTitle="Ad Group Default Bid (Informational only)" prompt="Gray highlighted fields can help you find information when filters are applied. Editing or removing these columns will not impact bulk upload." type="custom">
      <formula1>AA$5="Ad Group Default Bid (Informational only)"</formula1>
    </dataValidation>
    <dataValidation sqref="AC5" showDropDown="0" showInputMessage="1" showErrorMessage="0" allowBlank="1" promptTitle="Keyword Text" prompt="Limited to 80 characters max per keyword. Avoid these symbols: slashes, carets, commas, double periods. Non-English language is acceptable." type="custom">
      <formula1>AC$5="Keyword Text"</formula1>
    </dataValidation>
    <dataValidation sqref="AH5" showDropDown="0" showInputMessage="1" showErrorMessage="0" allowBlank="1" promptTitle="Placement" prompt="When creating a bidding adjustment, enter placementTop for top-of-search, or placementProductPage for product page placements." type="custom">
      <formula1>AH$5="Placement"</formula1>
    </dataValidation>
    <dataValidation sqref="AI5" showDropDown="0" showInputMessage="1" showErrorMessage="0" allowBlank="1" promptTitle="Percentage" prompt="Enter percent amount to create or update bidding adjustment by placement. Percent symbol (%) isn’t needed (e.g., enter 10.25 if allocating 10.25%)." type="custom">
      <formula1>AI$5="Percentage"</formula1>
    </dataValidation>
    <dataValidation sqref="AJ5"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formula1>AJ$5="Product Targeting Expression"</formula1>
    </dataValidation>
    <dataValidation sqref="AK5:AQ5" showDropDown="0" showInputMessage="1" showErrorMessage="0" allowBlank="1" promptTitle="Resolved Product Targeting Expression (Informational only)" prompt="Compare rows in this field with corresponding &quot;product targeting expression&quot; fields to see more information about targeting codes." type="custom">
      <formula1>AK$5="Resolved Product Targeting Expression (Informational only)"</formula1>
    </dataValidation>
    <dataValidation sqref="A6:A897" showDropDown="0" showInputMessage="0" showErrorMessage="1" allowBlank="1" errorTitle="Invalid Product" error="Please choose one of the dropdown options." type="list" errorStyle="information">
      <formula1>IF(A$5="Product",INDIRECT("SponsoredProductsProductNames"),"")</formula1>
    </dataValidation>
    <dataValidation sqref="B6:B897" showDropDown="0" showInputMessage="0" showErrorMessage="1" allowBlank="1" errorTitle="Invalid Entity" error="Please choose one of the dropdown options." type="list" errorStyle="information">
      <formula1>IF(B$5="Entity",INDIRECT("SponsoredProductsEntityNames"),"")</formula1>
    </dataValidation>
    <dataValidation sqref="C6:C897" showDropDown="0" showInputMessage="0" showErrorMessage="1" allowBlank="1" errorTitle="Invalid Operation" error="Please choose one of the dropdown options." type="list" errorStyle="information">
      <formula1>IF(C$5="Operation",INDIRECT("SponsoredProductsOperationNames"),"")</formula1>
    </dataValidation>
    <dataValidation sqref="J6:J897" showDropDown="0" showInputMessage="1" showErrorMessage="1" allowBlank="1" errorTitle="Invalid Campaign Name" error="Campaign Name can have up to 128 characters. " promptTitle="Campaign Name" prompt="Campaign Name can have up to 128 characters. " type="custom" errorStyle="information">
      <formula1>OR(J$5&lt;&gt;"Campaign Name",AND(LEN($J6)&lt;=128))</formula1>
    </dataValidation>
    <dataValidation sqref="K6:K897" showDropDown="0" showInputMessage="1" showErrorMessage="1" allowBlank="1" errorTitle="Invalid Ad Group Name" error="Ad Group Name can have up to 255 characters. " promptTitle="Ad Group Name" prompt="Ad Group Name can have up to 255 characters. " type="custom" errorStyle="information">
      <formula1>OR(K$5&lt;&gt;"Ad Group Name",AND(LEN($K6)&lt;=255))</formula1>
    </dataValidation>
    <dataValidation sqref="O6:O897"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OR(O$5&lt;&gt;"Start Date",AND(LEN($O6)=8,DATEVALUE(REPLACE(REPLACE($O6,7,0,"/"),5,0,"/"))&gt;=TODAY()))</formula1>
    </dataValidation>
    <dataValidation sqref="P6:P897"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OR(P$5&lt;&gt;"End Date",AND(OR(LEN($P6)=0,AND(LEN($P6)=8,IFERROR(DATEVALUE(REPLACE(REPLACE($P6,7,0,"/"),5,0,"/")),-1)&gt;=IF(LEN($O6)&lt;&gt;8,0,IFERROR(DATEVALUE(REPLACE(REPLACE($O6,7,0,"/"),5,0,"/")),0))))))</formula1>
    </dataValidation>
    <dataValidation sqref="Q6:Q897"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10;" type="list" errorStyle="information">
      <formula1>IF(Q$5="Targeting Type",INDIRECT(SUBSTITUTE(CONCATENATE($A6,$C6,$B6,"TargetingTypes")," ","")),"")</formula1>
    </dataValidation>
    <dataValidation sqref="R6:R897"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10;" type="list" errorStyle="information">
      <formula1>IF(R$5="State",INDIRECT(SUBSTITUTE(CONCATENATE($A6,$C6,$B6,"States")," ","")),"")</formula1>
    </dataValidation>
    <dataValidation sqref="U6:U897" showDropDown="0" showInputMessage="1" showErrorMessage="1" allowBlank="1" errorTitle="Invalid Daily Budget" error="Daily Budget must be between 1 and 1000000 and can have at most 2 decimal places. " promptTitle="Daily Budget" prompt="Daily Budget must be between 1 and 1000000 and can have at most 2 decimal places. " type="custom" errorStyle="information">
      <formula1>OR(U$5&lt;&gt;"Daily Budget",AND(AND($U6&gt;=1,$U6&lt;=1000000),INT($U6*100)=$U6*100))</formula1>
    </dataValidation>
    <dataValidation sqref="Z6:Z897" showDropDown="0" showInputMessage="1" showErrorMessage="1" allowBlank="1" errorTitle="Invalid Ad Group Default Bid" error="Ad Group Default Bid must be between 0.02 and 1000 and can have at most 2 decimal places. " promptTitle="Ad Group Default Bid" prompt="Ad Group Default Bid must be between 0.02 and 1000 and can have at most 2 decimal places. " type="custom" errorStyle="information">
      <formula1>OR(Z$5&lt;&gt;"Ad Group Default Bid",AND(AND($Z6&gt;=0.02,$Z6&lt;=1000),INT($Z6*100)=$Z6*100))</formula1>
    </dataValidation>
    <dataValidation sqref="AB6:AB897" showDropDown="0" showInputMessage="1" showErrorMessage="1" allowBlank="1" errorTitle="Invalid Bid" error="Bid must be between 0.02 and 1000 and can have at most 2 decimal places. " promptTitle="Bid" prompt="Bid must be between 0.02 and 1000 and can have at most 2 decimal places. " type="custom" errorStyle="information">
      <formula1>OR(AB$5&lt;&gt;"Bid",AND(AND($AB6&gt;=0.02,$AB6&lt;=1000),INT($AB6*100)=$AB6*100))</formula1>
    </dataValidation>
    <dataValidation sqref="AF6:AF897"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10;" type="list" errorStyle="information">
      <formula1>IF(AF$5="Match Type",INDIRECT(SUBSTITUTE(CONCATENATE($A6,$C6,$B6,"MatchTypes")," ","")),"")</formula1>
    </dataValidation>
    <dataValidation sqref="AG6:AG897"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10;" type="list" errorStyle="information">
      <formula1>IF(AG$5="Bidding Strategy",INDIRECT(SUBSTITUTE(CONCATENATE($A6,$C6,$B6,"Strategys")," ","")),"")</formula1>
    </dataValidation>
    <dataValidation sqref="AH6:AH897"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10;" type="list" errorStyle="information">
      <formula1>IF(AH$5="Placement",INDIRECT(SUBSTITUTE(CONCATENATE($A6,$C6,$B6,"Placements")," ","")),"")</formula1>
    </dataValidation>
    <dataValidation sqref="AI6:AI897" showDropDown="0" showInputMessage="1" showErrorMessage="1" allowBlank="1" errorTitle="Invalid Percentage" error="Percentage can have at most 2 decimal places. " promptTitle="Percentage" prompt="Percentage can have at most 2 decimal places. " type="custom" errorStyle="information">
      <formula1>OR(AI$5&lt;&gt;"Percentage",AND(INT($AI6*100)=$AI6*100))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Z27"/>
  <sheetViews>
    <sheetView workbookViewId="0">
      <pane xSplit="1" ySplit="1" topLeftCell="B2" activePane="bottomRight" state="frozen"/>
      <selection pane="topRight"/>
      <selection pane="bottomLeft"/>
      <selection pane="bottomRight" activeCell="A1" sqref="A1"/>
      <selection pane="bottomLeft" activeCell="M10" sqref="M10"/>
    </sheetView>
  </sheetViews>
  <sheetFormatPr baseColWidth="8" defaultColWidth="12.9326923076923" defaultRowHeight="16.8"/>
  <cols>
    <col width="12.9326923076923" customWidth="1" style="113" min="1" max="1"/>
    <col width="34.6923076923077" customWidth="1" style="113" min="2" max="2"/>
    <col width="12.9326923076923" customWidth="1" style="113" min="3" max="13"/>
    <col width="12.9326923076923" customWidth="1" style="251" min="14" max="14"/>
    <col width="12.9326923076923" customWidth="1" style="113" min="15" max="16384"/>
  </cols>
  <sheetData>
    <row r="1" ht="40" customHeight="1" s="235">
      <c r="B1" s="79" t="inlineStr">
        <is>
          <t>Placement</t>
        </is>
      </c>
      <c r="C1" s="54" t="inlineStr">
        <is>
          <t>求和项:Impressions</t>
        </is>
      </c>
      <c r="D1" s="115" t="inlineStr">
        <is>
          <t>求和项:Clicks</t>
        </is>
      </c>
      <c r="E1" s="54" t="inlineStr">
        <is>
          <t>求和项:Spend</t>
        </is>
      </c>
      <c r="F1" s="115" t="inlineStr">
        <is>
          <t>求和项:Sales</t>
        </is>
      </c>
      <c r="G1" s="54" t="inlineStr">
        <is>
          <t>求和项:Orders</t>
        </is>
      </c>
      <c r="H1" s="79" t="inlineStr">
        <is>
          <t>CPC</t>
        </is>
      </c>
      <c r="I1" s="79" t="inlineStr">
        <is>
          <t>CTR</t>
        </is>
      </c>
      <c r="J1" s="79" t="inlineStr">
        <is>
          <t>CVR</t>
        </is>
      </c>
      <c r="K1" s="79" t="inlineStr">
        <is>
          <t>ACoS</t>
        </is>
      </c>
      <c r="L1" s="79" t="inlineStr">
        <is>
          <t>CPM</t>
        </is>
      </c>
      <c r="M1" s="79" t="inlineStr">
        <is>
          <t>CPO</t>
        </is>
      </c>
      <c r="N1" s="252" t="inlineStr">
        <is>
          <t>客单价</t>
        </is>
      </c>
      <c r="O1" s="227" t="inlineStr">
        <is>
          <t>销售占比</t>
        </is>
      </c>
      <c r="P1" s="227" t="inlineStr">
        <is>
          <t>花费占比</t>
        </is>
      </c>
      <c r="Q1" s="227" t="inlineStr">
        <is>
          <t>差值</t>
        </is>
      </c>
      <c r="R1" s="79" t="inlineStr">
        <is>
          <t>ACoS</t>
        </is>
      </c>
      <c r="S1" s="79" t="inlineStr">
        <is>
          <t>RoAS</t>
        </is>
      </c>
      <c r="U1" s="124" t="inlineStr">
        <is>
          <t>场景/活动目的</t>
        </is>
      </c>
      <c r="V1" s="125" t="inlineStr">
        <is>
          <t>ß</t>
        </is>
      </c>
      <c r="W1" s="125" t="n">
        <v>0.2</v>
      </c>
    </row>
    <row r="2" ht="15" customHeight="1" s="235">
      <c r="B2" s="24" t="inlineStr">
        <is>
          <t>Placement Product Page</t>
        </is>
      </c>
      <c r="C2" s="24">
        <f>BidingAdjustment!AR1</f>
        <v/>
      </c>
      <c r="D2" s="24">
        <f>BidingAdjustment!AS1</f>
        <v/>
      </c>
      <c r="E2" s="24">
        <f>BidingAdjustment!AU1</f>
        <v/>
      </c>
      <c r="F2" s="24">
        <f>BidingAdjustment!AV1</f>
        <v/>
      </c>
      <c r="G2" s="24">
        <f>BidingAdjustment!AW1</f>
        <v/>
      </c>
      <c r="H2" s="253">
        <f>E2/D2</f>
        <v/>
      </c>
      <c r="I2" s="31">
        <f>IFERROR(D2/C2,0)</f>
        <v/>
      </c>
      <c r="J2" s="254">
        <f>IFERROR(G2/D2,0)</f>
        <v/>
      </c>
      <c r="K2" s="254">
        <f>IFERROR(E2/F2,0)</f>
        <v/>
      </c>
      <c r="L2" s="253">
        <f>E2/C2*1000</f>
        <v/>
      </c>
      <c r="M2" s="253">
        <f>IFERROR(E2/G2,"")</f>
        <v/>
      </c>
      <c r="N2" s="255">
        <f>IFERROR(F2/G2,"")</f>
        <v/>
      </c>
      <c r="O2" s="31">
        <f>F2/$F$6</f>
        <v/>
      </c>
      <c r="P2" s="31">
        <f>E2/$E$6</f>
        <v/>
      </c>
      <c r="Q2" s="31">
        <f>O2-P2</f>
        <v/>
      </c>
      <c r="R2" s="31">
        <f>K2</f>
        <v/>
      </c>
      <c r="S2" s="255">
        <f>1/K2</f>
        <v/>
      </c>
      <c r="U2" s="256" t="inlineStr">
        <is>
          <t>当投放订单=0</t>
        </is>
      </c>
      <c r="V2" s="127" t="inlineStr">
        <is>
          <t>降费Ctr</t>
        </is>
      </c>
      <c r="W2" s="128">
        <f>$I$6*0.8</f>
        <v/>
      </c>
    </row>
    <row r="3" ht="15" customHeight="1" s="235">
      <c r="B3" s="24" t="inlineStr">
        <is>
          <t>Placement Rest Of Search</t>
        </is>
      </c>
      <c r="C3" s="24">
        <f>BidingAdjustment!AR2</f>
        <v/>
      </c>
      <c r="D3" s="24">
        <f>BidingAdjustment!AS2</f>
        <v/>
      </c>
      <c r="E3" s="24">
        <f>BidingAdjustment!AU2</f>
        <v/>
      </c>
      <c r="F3" s="24">
        <f>BidingAdjustment!AV2</f>
        <v/>
      </c>
      <c r="G3" s="24">
        <f>BidingAdjustment!AW2</f>
        <v/>
      </c>
      <c r="H3" s="253">
        <f>E3/D3</f>
        <v/>
      </c>
      <c r="I3" s="31">
        <f>IFERROR(D3/C3,0)</f>
        <v/>
      </c>
      <c r="J3" s="254">
        <f>IFERROR(G3/D3,0)</f>
        <v/>
      </c>
      <c r="K3" s="254">
        <f>IFERROR(E3/F3,0)</f>
        <v/>
      </c>
      <c r="L3" s="253">
        <f>E3/C3*1000</f>
        <v/>
      </c>
      <c r="M3" s="253">
        <f>IFERROR(E3/G3,"")</f>
        <v/>
      </c>
      <c r="N3" s="255">
        <f>IFERROR(F3/G3,"")</f>
        <v/>
      </c>
      <c r="O3" s="31">
        <f>F3/$F$6</f>
        <v/>
      </c>
      <c r="P3" s="31">
        <f>E3/$E$6</f>
        <v/>
      </c>
      <c r="Q3" s="31">
        <f>O3-P3</f>
        <v/>
      </c>
      <c r="R3" s="31">
        <f>K3</f>
        <v/>
      </c>
      <c r="S3" s="255">
        <f>1/K3</f>
        <v/>
      </c>
      <c r="U3" s="257" t="n"/>
      <c r="V3" s="127" t="inlineStr">
        <is>
          <t>增投Ctr</t>
        </is>
      </c>
      <c r="W3" s="128">
        <f>$I$6*1.2</f>
        <v/>
      </c>
    </row>
    <row r="4" ht="15" customHeight="1" s="235">
      <c r="B4" s="24" t="inlineStr">
        <is>
          <t>Placement Top</t>
        </is>
      </c>
      <c r="C4" s="24">
        <f>BidingAdjustment!AR3</f>
        <v/>
      </c>
      <c r="D4" s="24">
        <f>BidingAdjustment!AS3</f>
        <v/>
      </c>
      <c r="E4" s="24">
        <f>BidingAdjustment!AU3</f>
        <v/>
      </c>
      <c r="F4" s="24">
        <f>BidingAdjustment!AV3</f>
        <v/>
      </c>
      <c r="G4" s="24">
        <f>BidingAdjustment!AW3</f>
        <v/>
      </c>
      <c r="H4" s="253">
        <f>E4/D4</f>
        <v/>
      </c>
      <c r="I4" s="31">
        <f>IFERROR(D4/C4,0)</f>
        <v/>
      </c>
      <c r="J4" s="258">
        <f>IFERROR(G4/D4,0)</f>
        <v/>
      </c>
      <c r="K4" s="254">
        <f>IFERROR(E4/F4,0)</f>
        <v/>
      </c>
      <c r="L4" s="253">
        <f>E4/C4*1000</f>
        <v/>
      </c>
      <c r="M4" s="253">
        <f>IFERROR(E4/G4,"")</f>
        <v/>
      </c>
      <c r="N4" s="255">
        <f>IFERROR(F4/G4,"")</f>
        <v/>
      </c>
      <c r="O4" s="31">
        <f>F4/$F$6</f>
        <v/>
      </c>
      <c r="P4" s="31">
        <f>E4/$E$6</f>
        <v/>
      </c>
      <c r="Q4" s="31">
        <f>O4-P4</f>
        <v/>
      </c>
      <c r="R4" s="31">
        <f>K4</f>
        <v/>
      </c>
      <c r="S4" s="255">
        <f>1/K4</f>
        <v/>
      </c>
      <c r="U4" s="256" t="inlineStr">
        <is>
          <t>自然位</t>
        </is>
      </c>
      <c r="V4" s="127" t="inlineStr">
        <is>
          <t>降费Cvr</t>
        </is>
      </c>
      <c r="W4" s="128">
        <f>$J$6*0.8</f>
        <v/>
      </c>
    </row>
    <row r="5" ht="15" customHeight="1" s="235">
      <c r="B5" s="24" t="inlineStr">
        <is>
          <t>Placement Amazon Business</t>
        </is>
      </c>
      <c r="C5" s="24">
        <f>BidingAdjustment!AR4</f>
        <v/>
      </c>
      <c r="D5" s="24">
        <f>BidingAdjustment!AS4</f>
        <v/>
      </c>
      <c r="E5" s="24">
        <f>BidingAdjustment!AU4</f>
        <v/>
      </c>
      <c r="F5" s="24">
        <f>BidingAdjustment!AV4</f>
        <v/>
      </c>
      <c r="G5" s="24">
        <f>BidingAdjustment!AW4</f>
        <v/>
      </c>
      <c r="H5" s="253">
        <f>E5/D5</f>
        <v/>
      </c>
      <c r="I5" s="31">
        <f>IFERROR(D5/C5,0)</f>
        <v/>
      </c>
      <c r="J5" s="254">
        <f>IFERROR(G5/D5,0)</f>
        <v/>
      </c>
      <c r="K5" s="254">
        <f>IFERROR(E5/F5,0)</f>
        <v/>
      </c>
      <c r="L5" s="253">
        <f>E5/C5*1000</f>
        <v/>
      </c>
      <c r="M5" s="253">
        <f>IFERROR(E5/G5,"")</f>
        <v/>
      </c>
      <c r="N5" s="255">
        <f>IFERROR(F5/G5,"")</f>
        <v/>
      </c>
      <c r="O5" s="31">
        <f>F5/$F$6</f>
        <v/>
      </c>
      <c r="P5" s="31">
        <f>E5/$E$6</f>
        <v/>
      </c>
      <c r="Q5" s="31">
        <f>O5-P5</f>
        <v/>
      </c>
      <c r="R5" s="31">
        <f>K5</f>
        <v/>
      </c>
      <c r="S5" s="255">
        <f>1/K5</f>
        <v/>
      </c>
      <c r="U5" s="257" t="n"/>
      <c r="V5" s="127" t="inlineStr">
        <is>
          <t>增投Cvr</t>
        </is>
      </c>
      <c r="W5" s="128">
        <f>$J$6*1.2</f>
        <v/>
      </c>
    </row>
    <row r="6" ht="15" customHeight="1" s="235">
      <c r="B6" s="24" t="inlineStr">
        <is>
          <t>总计</t>
        </is>
      </c>
      <c r="C6" s="24">
        <f>SUM(C2:C5)</f>
        <v/>
      </c>
      <c r="D6" s="24">
        <f>SUM(D2:D5)</f>
        <v/>
      </c>
      <c r="E6" s="24">
        <f>SUM(E2:E5)</f>
        <v/>
      </c>
      <c r="F6" s="24">
        <f>SUM(F2:F5)</f>
        <v/>
      </c>
      <c r="G6" s="24">
        <f>SUM(G2:G5)</f>
        <v/>
      </c>
      <c r="H6" s="253">
        <f>E6/D6</f>
        <v/>
      </c>
      <c r="I6" s="31">
        <f>IFERROR(D6/C6,0)</f>
        <v/>
      </c>
      <c r="J6" s="254">
        <f>IFERROR(G6/D6,0)</f>
        <v/>
      </c>
      <c r="K6" s="254">
        <f>IFERROR(E6/F6,0)</f>
        <v/>
      </c>
      <c r="L6" s="253">
        <f>E6/C6*1000</f>
        <v/>
      </c>
      <c r="M6" s="253">
        <f>IFERROR(E6/G6,"")</f>
        <v/>
      </c>
      <c r="N6" s="255">
        <f>IFERROR(F6/G6,"")</f>
        <v/>
      </c>
      <c r="O6" s="31">
        <f>F6/$F$6</f>
        <v/>
      </c>
      <c r="P6" s="31">
        <f>E6/$E$6</f>
        <v/>
      </c>
      <c r="Q6" s="31">
        <f>O6-P6</f>
        <v/>
      </c>
      <c r="R6" s="31">
        <f>K6</f>
        <v/>
      </c>
      <c r="S6" s="255">
        <f>1/K6</f>
        <v/>
      </c>
      <c r="U6" s="256" t="inlineStr">
        <is>
          <t>广告单盈利</t>
        </is>
      </c>
      <c r="V6" s="127" t="inlineStr">
        <is>
          <t>降费ACoS</t>
        </is>
      </c>
      <c r="W6" s="128">
        <f>$K$6*1.2</f>
        <v/>
      </c>
    </row>
    <row r="7" ht="15" customHeight="1" s="235">
      <c r="U7" s="257" t="n"/>
      <c r="V7" s="127" t="inlineStr">
        <is>
          <t>增投ACoS</t>
        </is>
      </c>
      <c r="W7" s="128">
        <f>$K$6*0.8</f>
        <v/>
      </c>
    </row>
    <row r="8" ht="56" customHeight="1" s="235">
      <c r="B8" s="79" t="inlineStr">
        <is>
          <t>Bulk</t>
        </is>
      </c>
      <c r="C8" s="54" t="inlineStr">
        <is>
          <t>求和项:Impressions</t>
        </is>
      </c>
      <c r="D8" s="115" t="inlineStr">
        <is>
          <t>求和项:Clicks</t>
        </is>
      </c>
      <c r="E8" s="54" t="inlineStr">
        <is>
          <t>求和项:Spend</t>
        </is>
      </c>
      <c r="F8" s="115" t="inlineStr">
        <is>
          <t>求和项:Sales</t>
        </is>
      </c>
      <c r="G8" s="54" t="inlineStr">
        <is>
          <t>求和项:Orders</t>
        </is>
      </c>
      <c r="H8" s="79" t="inlineStr">
        <is>
          <t>CPC</t>
        </is>
      </c>
      <c r="I8" s="79" t="inlineStr">
        <is>
          <t>CTR</t>
        </is>
      </c>
      <c r="J8" s="79" t="inlineStr">
        <is>
          <t>CVR</t>
        </is>
      </c>
      <c r="K8" s="79" t="inlineStr">
        <is>
          <t>ACoS</t>
        </is>
      </c>
      <c r="L8" s="79" t="inlineStr">
        <is>
          <t>CPM</t>
        </is>
      </c>
      <c r="M8" s="79" t="inlineStr">
        <is>
          <t>CPO</t>
        </is>
      </c>
      <c r="N8" s="252" t="inlineStr">
        <is>
          <t>客单价</t>
        </is>
      </c>
      <c r="O8" s="227" t="inlineStr">
        <is>
          <t>销售占比</t>
        </is>
      </c>
      <c r="P8" s="227" t="inlineStr">
        <is>
          <t>花费占比</t>
        </is>
      </c>
      <c r="Q8" s="227" t="inlineStr">
        <is>
          <t>差值</t>
        </is>
      </c>
      <c r="R8" s="79" t="inlineStr">
        <is>
          <t>ACoS</t>
        </is>
      </c>
      <c r="S8" s="79" t="inlineStr">
        <is>
          <t>RoAS</t>
        </is>
      </c>
    </row>
    <row r="9" ht="15" customHeight="1" s="235">
      <c r="B9" s="24" t="inlineStr">
        <is>
          <t>Exact</t>
        </is>
      </c>
      <c r="C9" s="24">
        <f>Bulk!AR1</f>
        <v/>
      </c>
      <c r="D9" s="24">
        <f>Bulk!AS1</f>
        <v/>
      </c>
      <c r="E9" s="24">
        <f>Bulk!AU1</f>
        <v/>
      </c>
      <c r="F9" s="24">
        <f>Bulk!AV1</f>
        <v/>
      </c>
      <c r="G9" s="24">
        <f>Bulk!AW1</f>
        <v/>
      </c>
      <c r="H9" s="253">
        <f>E9/D9</f>
        <v/>
      </c>
      <c r="I9" s="259">
        <f>IFERROR(D9/C9,0)</f>
        <v/>
      </c>
      <c r="J9" s="254">
        <f>IFERROR(G9/D9,0)</f>
        <v/>
      </c>
      <c r="K9" s="254">
        <f>IFERROR(E9/F9,0)</f>
        <v/>
      </c>
      <c r="L9" s="253">
        <f>E9/C9*1000</f>
        <v/>
      </c>
      <c r="M9" s="253">
        <f>IFERROR(E9/G9,"")</f>
        <v/>
      </c>
      <c r="N9" s="255">
        <f>IFERROR(F9/G9,"")</f>
        <v/>
      </c>
      <c r="O9" s="31">
        <f>F9/$F$20</f>
        <v/>
      </c>
      <c r="P9" s="31">
        <f>E9/$E$20</f>
        <v/>
      </c>
      <c r="Q9" s="31">
        <f>O9-P9</f>
        <v/>
      </c>
      <c r="R9" s="31">
        <f>K9</f>
        <v/>
      </c>
      <c r="S9" s="255">
        <f>1/K9</f>
        <v/>
      </c>
      <c r="U9" s="130" t="inlineStr">
        <is>
          <t>报表周期</t>
        </is>
      </c>
      <c r="V9" s="131" t="n">
        <v>20</v>
      </c>
      <c r="Y9" s="123" t="n"/>
    </row>
    <row r="10" ht="15" customHeight="1" s="235">
      <c r="B10" s="24" t="inlineStr">
        <is>
          <t>Phrase</t>
        </is>
      </c>
      <c r="C10" s="24">
        <f>Bulk!AR2</f>
        <v/>
      </c>
      <c r="D10" s="24">
        <f>Bulk!AS2</f>
        <v/>
      </c>
      <c r="E10" s="24">
        <f>Bulk!AU2</f>
        <v/>
      </c>
      <c r="F10" s="24">
        <f>Bulk!AV2</f>
        <v/>
      </c>
      <c r="G10" s="24">
        <f>Bulk!AW2</f>
        <v/>
      </c>
      <c r="H10" s="253">
        <f>E10/D10</f>
        <v/>
      </c>
      <c r="I10" s="259">
        <f>IFERROR(D10/C10,0)</f>
        <v/>
      </c>
      <c r="J10" s="254">
        <f>IFERROR(G10/D10,0)</f>
        <v/>
      </c>
      <c r="K10" s="254">
        <f>IFERROR(E10/F10,0)</f>
        <v/>
      </c>
      <c r="L10" s="253">
        <f>E10/C10*1000</f>
        <v/>
      </c>
      <c r="M10" s="253">
        <f>IFERROR(E10/G10,"")</f>
        <v/>
      </c>
      <c r="N10" s="255">
        <f>IFERROR(F10/G10,"")</f>
        <v/>
      </c>
      <c r="O10" s="31">
        <f>F10/$F$20</f>
        <v/>
      </c>
      <c r="P10" s="31">
        <f>E10/$E$20</f>
        <v/>
      </c>
      <c r="Q10" s="31">
        <f>O10-P10</f>
        <v/>
      </c>
      <c r="R10" s="31">
        <f>K10</f>
        <v/>
      </c>
      <c r="S10" s="255">
        <f>1/K10</f>
        <v/>
      </c>
      <c r="U10" s="130" t="inlineStr">
        <is>
          <t>日均标准</t>
        </is>
      </c>
      <c r="V10" s="127" t="n">
        <v>2</v>
      </c>
    </row>
    <row r="11" ht="15" customHeight="1" s="235">
      <c r="B11" s="24" t="inlineStr">
        <is>
          <t>Broad</t>
        </is>
      </c>
      <c r="C11" s="24">
        <f>Bulk!AR3</f>
        <v/>
      </c>
      <c r="D11" s="24">
        <f>Bulk!AS3</f>
        <v/>
      </c>
      <c r="E11" s="24">
        <f>Bulk!AU3</f>
        <v/>
      </c>
      <c r="F11" s="24">
        <f>Bulk!AV3</f>
        <v/>
      </c>
      <c r="G11" s="24">
        <f>Bulk!AW3</f>
        <v/>
      </c>
      <c r="H11" s="253">
        <f>E11/D11</f>
        <v/>
      </c>
      <c r="I11" s="259">
        <f>IFERROR(D11/C11,0)</f>
        <v/>
      </c>
      <c r="J11" s="254">
        <f>IFERROR(G11/D11,0)</f>
        <v/>
      </c>
      <c r="K11" s="254">
        <f>IFERROR(E11/F11,0)</f>
        <v/>
      </c>
      <c r="L11" s="253">
        <f>E11/C11*1000</f>
        <v/>
      </c>
      <c r="M11" s="253">
        <f>IFERROR(E11/G11,"")</f>
        <v/>
      </c>
      <c r="N11" s="255">
        <f>IFERROR(F11/G11,"")</f>
        <v/>
      </c>
      <c r="O11" s="31">
        <f>F11/$F$20</f>
        <v/>
      </c>
      <c r="P11" s="31">
        <f>E11/$E$20</f>
        <v/>
      </c>
      <c r="Q11" s="31">
        <f>O11-P11</f>
        <v/>
      </c>
      <c r="R11" s="31">
        <f>K11</f>
        <v/>
      </c>
      <c r="S11" s="255">
        <f>1/K11</f>
        <v/>
      </c>
      <c r="U11" s="132" t="inlineStr">
        <is>
          <t>Per订单标准</t>
        </is>
      </c>
      <c r="V11" s="127">
        <f>V10*V9</f>
        <v/>
      </c>
    </row>
    <row r="12" ht="15" customHeight="1" s="235">
      <c r="B12" s="24" t="inlineStr">
        <is>
          <t>asin=</t>
        </is>
      </c>
      <c r="C12" s="24">
        <f>Bulk!AR5</f>
        <v/>
      </c>
      <c r="D12" s="24">
        <f>Bulk!AS5</f>
        <v/>
      </c>
      <c r="E12" s="24">
        <f>Bulk!AU5</f>
        <v/>
      </c>
      <c r="F12" s="24">
        <f>Bulk!AV5</f>
        <v/>
      </c>
      <c r="G12" s="24">
        <f>Bulk!AW5</f>
        <v/>
      </c>
      <c r="H12" s="253">
        <f>E12/D12</f>
        <v/>
      </c>
      <c r="I12" s="259">
        <f>IFERROR(D12/C12,0)</f>
        <v/>
      </c>
      <c r="J12" s="254">
        <f>IFERROR(G12/D12,0)</f>
        <v/>
      </c>
      <c r="K12" s="254">
        <f>IFERROR(E12/F12,0)</f>
        <v/>
      </c>
      <c r="L12" s="253">
        <f>E12/C12*1000</f>
        <v/>
      </c>
      <c r="M12" s="253">
        <f>IFERROR(E12/G12,"")</f>
        <v/>
      </c>
      <c r="N12" s="255">
        <f>IFERROR(F12/G12,"")</f>
        <v/>
      </c>
      <c r="O12" s="31">
        <f>F12/$F$20</f>
        <v/>
      </c>
      <c r="P12" s="31">
        <f>E12/$E$20</f>
        <v/>
      </c>
      <c r="Q12" s="31">
        <f>O12-P12</f>
        <v/>
      </c>
      <c r="R12" s="31">
        <f>K12</f>
        <v/>
      </c>
      <c r="S12" s="255">
        <f>1/K12</f>
        <v/>
      </c>
    </row>
    <row r="13" ht="15" customHeight="1" s="235">
      <c r="B13" s="24" t="inlineStr">
        <is>
          <t>asin-expanded=</t>
        </is>
      </c>
      <c r="C13" s="24">
        <f>Bulk!AR6</f>
        <v/>
      </c>
      <c r="D13" s="24">
        <f>Bulk!AS6</f>
        <v/>
      </c>
      <c r="E13" s="24">
        <f>Bulk!AU6</f>
        <v/>
      </c>
      <c r="F13" s="24">
        <f>Bulk!AV6</f>
        <v/>
      </c>
      <c r="G13" s="24">
        <f>Bulk!AW6</f>
        <v/>
      </c>
      <c r="H13" s="253">
        <f>E13/D13</f>
        <v/>
      </c>
      <c r="I13" s="259">
        <f>IFERROR(D13/C13,0)</f>
        <v/>
      </c>
      <c r="J13" s="254">
        <f>IFERROR(G13/D13,0)</f>
        <v/>
      </c>
      <c r="K13" s="254">
        <f>IFERROR(E13/F13,0)</f>
        <v/>
      </c>
      <c r="L13" s="253">
        <f>E13/C13*1000</f>
        <v/>
      </c>
      <c r="M13" s="253">
        <f>IFERROR(E13/G13,"")</f>
        <v/>
      </c>
      <c r="N13" s="255">
        <f>IFERROR(F13/G13,"")</f>
        <v/>
      </c>
      <c r="O13" s="31">
        <f>F13/$F$20</f>
        <v/>
      </c>
      <c r="P13" s="31">
        <f>E13/$E$20</f>
        <v/>
      </c>
      <c r="Q13" s="31">
        <f>O13-P13</f>
        <v/>
      </c>
      <c r="R13" s="31">
        <f>K13</f>
        <v/>
      </c>
      <c r="S13" s="255">
        <f>1/K13</f>
        <v/>
      </c>
    </row>
    <row r="14" ht="15" customHeight="1" s="235">
      <c r="B14" s="24" t="inlineStr">
        <is>
          <t>category=</t>
        </is>
      </c>
      <c r="C14" s="24">
        <f>Bulk!AR7</f>
        <v/>
      </c>
      <c r="D14" s="24">
        <f>Bulk!AS7</f>
        <v/>
      </c>
      <c r="E14" s="24">
        <f>Bulk!AU7</f>
        <v/>
      </c>
      <c r="F14" s="24">
        <f>Bulk!AV7</f>
        <v/>
      </c>
      <c r="G14" s="24">
        <f>Bulk!AW7</f>
        <v/>
      </c>
      <c r="H14" s="253">
        <f>E14/D14</f>
        <v/>
      </c>
      <c r="I14" s="259">
        <f>IFERROR(D14/C14,0)</f>
        <v/>
      </c>
      <c r="J14" s="254">
        <f>IFERROR(G14/D14,0)</f>
        <v/>
      </c>
      <c r="K14" s="254">
        <f>IFERROR(E14/F14,0)</f>
        <v/>
      </c>
      <c r="L14" s="253">
        <f>E14/C14*1000</f>
        <v/>
      </c>
      <c r="M14" s="253">
        <f>IFERROR(E14/G14,"")</f>
        <v/>
      </c>
      <c r="N14" s="255">
        <f>IFERROR(F14/G14,"")</f>
        <v/>
      </c>
      <c r="O14" s="31">
        <f>F14/$F$20</f>
        <v/>
      </c>
      <c r="P14" s="31">
        <f>E14/$E$20</f>
        <v/>
      </c>
      <c r="Q14" s="31">
        <f>O14-P14</f>
        <v/>
      </c>
      <c r="R14" s="31">
        <f>K14</f>
        <v/>
      </c>
      <c r="S14" s="255">
        <f>1/K14</f>
        <v/>
      </c>
    </row>
    <row r="15" ht="15" customHeight="1" s="235">
      <c r="B15" s="24" t="inlineStr">
        <is>
          <t>complements</t>
        </is>
      </c>
      <c r="C15" s="24">
        <f>Bulk!AR8</f>
        <v/>
      </c>
      <c r="D15" s="24">
        <f>Bulk!AS8</f>
        <v/>
      </c>
      <c r="E15" s="24">
        <f>Bulk!AU8</f>
        <v/>
      </c>
      <c r="F15" s="24">
        <f>Bulk!AV8</f>
        <v/>
      </c>
      <c r="G15" s="24">
        <f>Bulk!AW8</f>
        <v/>
      </c>
      <c r="H15" s="253">
        <f>E15/D15</f>
        <v/>
      </c>
      <c r="I15" s="259">
        <f>IFERROR(D15/C15,0)</f>
        <v/>
      </c>
      <c r="J15" s="254">
        <f>IFERROR(G15/D15,0)</f>
        <v/>
      </c>
      <c r="K15" s="254">
        <f>IFERROR(E15/F15,0)</f>
        <v/>
      </c>
      <c r="L15" s="253">
        <f>E15/C15*1000</f>
        <v/>
      </c>
      <c r="M15" s="253">
        <f>IFERROR(E15/G15,"")</f>
        <v/>
      </c>
      <c r="N15" s="255">
        <f>IFERROR(F15/G15,"")</f>
        <v/>
      </c>
      <c r="O15" s="31">
        <f>F15/$F$20</f>
        <v/>
      </c>
      <c r="P15" s="31">
        <f>E15/$E$20</f>
        <v/>
      </c>
      <c r="Q15" s="31">
        <f>O15-P15</f>
        <v/>
      </c>
      <c r="R15" s="31">
        <f>K15</f>
        <v/>
      </c>
      <c r="S15" s="255">
        <f>1/K15</f>
        <v/>
      </c>
    </row>
    <row r="16" ht="15" customHeight="1" s="235">
      <c r="B16" s="24" t="inlineStr">
        <is>
          <t>loose-match</t>
        </is>
      </c>
      <c r="C16" s="24">
        <f>Bulk!AR9</f>
        <v/>
      </c>
      <c r="D16" s="24">
        <f>Bulk!AS9</f>
        <v/>
      </c>
      <c r="E16" s="24">
        <f>Bulk!AU9</f>
        <v/>
      </c>
      <c r="F16" s="24">
        <f>Bulk!AV9</f>
        <v/>
      </c>
      <c r="G16" s="24">
        <f>Bulk!AW9</f>
        <v/>
      </c>
      <c r="H16" s="253">
        <f>E16/D16</f>
        <v/>
      </c>
      <c r="I16" s="259">
        <f>IFERROR(D16/C16,0)</f>
        <v/>
      </c>
      <c r="J16" s="254">
        <f>IFERROR(G16/D16,0)</f>
        <v/>
      </c>
      <c r="K16" s="254">
        <f>IFERROR(E16/F16,0)</f>
        <v/>
      </c>
      <c r="L16" s="253">
        <f>E16/C16*1000</f>
        <v/>
      </c>
      <c r="M16" s="253">
        <f>IFERROR(E16/G16,"")</f>
        <v/>
      </c>
      <c r="N16" s="255">
        <f>IFERROR(F16/G16,"")</f>
        <v/>
      </c>
      <c r="O16" s="31">
        <f>F16/$F$20</f>
        <v/>
      </c>
      <c r="P16" s="31">
        <f>E16/$E$20</f>
        <v/>
      </c>
      <c r="Q16" s="31">
        <f>O16-P16</f>
        <v/>
      </c>
      <c r="R16" s="31">
        <f>K16</f>
        <v/>
      </c>
      <c r="S16" s="255">
        <f>1/K16</f>
        <v/>
      </c>
    </row>
    <row r="17" ht="15" customHeight="1" s="235">
      <c r="B17" s="116" t="inlineStr">
        <is>
          <t>close-match</t>
        </is>
      </c>
      <c r="C17" s="24">
        <f>Bulk!AR10</f>
        <v/>
      </c>
      <c r="D17" s="24">
        <f>Bulk!AS10</f>
        <v/>
      </c>
      <c r="E17" s="24">
        <f>Bulk!AU10</f>
        <v/>
      </c>
      <c r="F17" s="24">
        <f>Bulk!AV10</f>
        <v/>
      </c>
      <c r="G17" s="24">
        <f>Bulk!AW10</f>
        <v/>
      </c>
      <c r="H17" s="253">
        <f>E17/D17</f>
        <v/>
      </c>
      <c r="I17" s="259">
        <f>IFERROR(D17/C17,0)</f>
        <v/>
      </c>
      <c r="J17" s="254">
        <f>IFERROR(G17/D17,0)</f>
        <v/>
      </c>
      <c r="K17" s="254">
        <f>IFERROR(E17/F17,0)</f>
        <v/>
      </c>
      <c r="L17" s="253">
        <f>E17/C17*1000</f>
        <v/>
      </c>
      <c r="M17" s="253">
        <f>IFERROR(E17/G17,"")</f>
        <v/>
      </c>
      <c r="N17" s="255">
        <f>IFERROR(F17/G17,"")</f>
        <v/>
      </c>
      <c r="O17" s="31">
        <f>F17/$F$20</f>
        <v/>
      </c>
      <c r="P17" s="31">
        <f>E17/$E$20</f>
        <v/>
      </c>
      <c r="Q17" s="31">
        <f>O17-P17</f>
        <v/>
      </c>
      <c r="R17" s="31">
        <f>K17</f>
        <v/>
      </c>
      <c r="S17" s="255">
        <f>1/K17</f>
        <v/>
      </c>
    </row>
    <row r="18" ht="15" customHeight="1" s="235">
      <c r="B18" s="116" t="inlineStr">
        <is>
          <t>substitutes</t>
        </is>
      </c>
      <c r="C18" s="24">
        <f>Bulk!AR11</f>
        <v/>
      </c>
      <c r="D18" s="24">
        <f>Bulk!AS11</f>
        <v/>
      </c>
      <c r="E18" s="24">
        <f>Bulk!AU11</f>
        <v/>
      </c>
      <c r="F18" s="24">
        <f>Bulk!AV11</f>
        <v/>
      </c>
      <c r="G18" s="24">
        <f>Bulk!AW11</f>
        <v/>
      </c>
      <c r="H18" s="253">
        <f>E18/D18</f>
        <v/>
      </c>
      <c r="I18" s="259">
        <f>IFERROR(D18/C18,0)</f>
        <v/>
      </c>
      <c r="J18" s="254">
        <f>IFERROR(G18/D18,0)</f>
        <v/>
      </c>
      <c r="K18" s="254">
        <f>IFERROR(E18/F18,0)</f>
        <v/>
      </c>
      <c r="L18" s="253">
        <f>E18/C18*1000</f>
        <v/>
      </c>
      <c r="M18" s="253">
        <f>IFERROR(E18/G18,"")</f>
        <v/>
      </c>
      <c r="N18" s="255">
        <f>IFERROR(F18/G18,"")</f>
        <v/>
      </c>
      <c r="O18" s="31">
        <f>F18/$F$20</f>
        <v/>
      </c>
      <c r="P18" s="31">
        <f>E18/$E$20</f>
        <v/>
      </c>
      <c r="Q18" s="31">
        <f>O18-P18</f>
        <v/>
      </c>
      <c r="R18" s="31">
        <f>K18</f>
        <v/>
      </c>
      <c r="S18" s="255">
        <f>1/K18</f>
        <v/>
      </c>
      <c r="Z18" s="133" t="n"/>
    </row>
    <row r="19" ht="15" customHeight="1" s="235">
      <c r="B19" s="24" t="inlineStr">
        <is>
          <t>Product Targeting</t>
        </is>
      </c>
      <c r="C19" s="24">
        <f>Bulk!AR4</f>
        <v/>
      </c>
      <c r="D19" s="24">
        <f>Bulk!AS4</f>
        <v/>
      </c>
      <c r="E19" s="24">
        <f>Bulk!AU4</f>
        <v/>
      </c>
      <c r="F19" s="24">
        <f>Bulk!AV4</f>
        <v/>
      </c>
      <c r="G19" s="24">
        <f>Bulk!AW4</f>
        <v/>
      </c>
      <c r="H19" s="253">
        <f>E19/D19</f>
        <v/>
      </c>
      <c r="I19" s="259">
        <f>IFERROR(D19/C19,0)</f>
        <v/>
      </c>
      <c r="J19" s="254">
        <f>IFERROR(G19/D19,0)</f>
        <v/>
      </c>
      <c r="K19" s="254">
        <f>IFERROR(E19/F19,0)</f>
        <v/>
      </c>
      <c r="L19" s="253">
        <f>E19/C19*1000</f>
        <v/>
      </c>
      <c r="M19" s="253">
        <f>IFERROR(E19/G19,"")</f>
        <v/>
      </c>
      <c r="N19" s="255">
        <f>IFERROR(F19/G19,"")</f>
        <v/>
      </c>
      <c r="O19" s="31">
        <f>F19/$F$20</f>
        <v/>
      </c>
      <c r="P19" s="31">
        <f>E19/$E$20</f>
        <v/>
      </c>
      <c r="Q19" s="31">
        <f>O19-P19</f>
        <v/>
      </c>
      <c r="R19" s="31">
        <f>K19</f>
        <v/>
      </c>
      <c r="S19" s="255">
        <f>1/K19</f>
        <v/>
      </c>
    </row>
    <row r="20" ht="15" customHeight="1" s="235">
      <c r="B20" s="24" t="inlineStr">
        <is>
          <t>总计</t>
        </is>
      </c>
      <c r="C20" s="24">
        <f>SUM(C9:C18)</f>
        <v/>
      </c>
      <c r="D20" s="24">
        <f>SUM(D9:D18)</f>
        <v/>
      </c>
      <c r="E20" s="24">
        <f>SUM(E9:E18)</f>
        <v/>
      </c>
      <c r="F20" s="24">
        <f>SUM(F9:F18)</f>
        <v/>
      </c>
      <c r="G20" s="24">
        <f>SUM(G9:G18)</f>
        <v/>
      </c>
      <c r="H20" s="253">
        <f>E20/D20</f>
        <v/>
      </c>
      <c r="I20" s="259">
        <f>IFERROR(D20/C20,0)</f>
        <v/>
      </c>
      <c r="J20" s="254">
        <f>IFERROR(G20/D20,0)</f>
        <v/>
      </c>
      <c r="K20" s="254">
        <f>IFERROR(E20/F20,0)</f>
        <v/>
      </c>
      <c r="L20" s="253">
        <f>E20/C20*1000</f>
        <v/>
      </c>
      <c r="M20" s="253">
        <f>IFERROR(E20/G20,"")</f>
        <v/>
      </c>
      <c r="N20" s="255">
        <f>IFERROR(F20/G20,"")</f>
        <v/>
      </c>
      <c r="O20" s="31">
        <f>F20/$F$20</f>
        <v/>
      </c>
      <c r="P20" s="31">
        <f>E20/$E$20</f>
        <v/>
      </c>
      <c r="Q20" s="31">
        <f>O20-P20</f>
        <v/>
      </c>
      <c r="R20" s="31">
        <f>K20</f>
        <v/>
      </c>
      <c r="S20" s="255">
        <f>1/K20</f>
        <v/>
      </c>
    </row>
    <row r="21">
      <c r="Q21" s="123" t="n"/>
      <c r="R21" s="123" t="n"/>
      <c r="S21" s="123" t="n"/>
    </row>
    <row r="22">
      <c r="Q22" s="123" t="n"/>
      <c r="R22" s="123" t="n"/>
      <c r="S22" s="123" t="n"/>
    </row>
    <row r="23">
      <c r="Q23" s="123" t="n"/>
      <c r="R23" s="123" t="n"/>
      <c r="S23" s="123" t="n"/>
    </row>
    <row r="27">
      <c r="W27" s="251" t="n"/>
    </row>
  </sheetData>
  <autoFilter ref="B1:Y20"/>
  <mergeCells count="3">
    <mergeCell ref="U2:U3"/>
    <mergeCell ref="U6:U7"/>
    <mergeCell ref="U4:U5"/>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codeName="Sheet3">
    <outlinePr summaryBelow="1" summaryRight="1"/>
    <pageSetUpPr/>
  </sheetPr>
  <dimension ref="A1:AQ4"/>
  <sheetViews>
    <sheetView zoomScale="130" zoomScaleNormal="130" workbookViewId="0">
      <pane xSplit="1" ySplit="3" topLeftCell="B4" activePane="bottomRight" state="frozen"/>
      <selection pane="topRight"/>
      <selection pane="bottomLeft"/>
      <selection pane="bottomRight" activeCell="A1" sqref="A1"/>
      <selection pane="topRight" activeCell="A1" sqref="A1"/>
      <selection pane="bottomLeft" activeCell="A1" sqref="A1"/>
      <selection pane="bottomRight" activeCell="A4" sqref="A4"/>
    </sheetView>
  </sheetViews>
  <sheetFormatPr baseColWidth="8" defaultColWidth="9" defaultRowHeight="16.8"/>
  <cols>
    <col width="80.69230769230769" customWidth="1" style="110" min="1" max="1"/>
    <col width="8.63461538461539" customWidth="1" style="110" min="2" max="6"/>
    <col width="8.63461538461539" customWidth="1" style="260" min="7" max="7"/>
    <col width="8.63461538461539" customWidth="1" style="261" min="8" max="10"/>
    <col width="13.8653846153846" customWidth="1" style="260" min="11" max="11"/>
    <col width="8.64423076923077" customWidth="1" style="260" min="12" max="13"/>
    <col width="8.63461538461539" customWidth="1" style="110" min="14" max="14"/>
    <col width="8.63461538461539" customWidth="1" style="75" min="15" max="15"/>
    <col width="8.63461538461539" customWidth="1" style="110" min="16" max="18"/>
    <col width="20.6923076923077" customWidth="1" style="76" min="19" max="19"/>
    <col width="8.63461538461539" customWidth="1" style="110" min="20" max="25"/>
    <col width="17.4711538461538" customWidth="1" style="110" min="26" max="26"/>
    <col hidden="1" outlineLevel="1" width="8.63461538461539" customWidth="1" style="110" min="27" max="29"/>
    <col hidden="1" outlineLevel="1" width="8.64423076923077" customWidth="1" style="262" min="30" max="30"/>
    <col hidden="1" outlineLevel="1" width="8.64423076923077" customWidth="1" style="110" min="31" max="35"/>
    <col hidden="1" outlineLevel="1" width="9" customWidth="1" style="110" min="36" max="41"/>
    <col collapsed="1" width="9" customWidth="1" style="110" min="42" max="42"/>
    <col width="9" customWidth="1" style="110" min="43" max="16384"/>
  </cols>
  <sheetData>
    <row r="1" ht="20" customFormat="1" customHeight="1" s="70">
      <c r="A1" s="78" t="inlineStr">
        <is>
          <t>总计</t>
        </is>
      </c>
      <c r="B1" s="78">
        <f>SUM(B4:B4089)</f>
        <v/>
      </c>
      <c r="C1" s="78">
        <f>SUM(C4:C4089)</f>
        <v/>
      </c>
      <c r="D1" s="78">
        <f>SUM(D4:D4089)</f>
        <v/>
      </c>
      <c r="E1" s="78">
        <f>SUM(E4:E4089)</f>
        <v/>
      </c>
      <c r="F1" s="78">
        <f>SUM(F4:F4089)</f>
        <v/>
      </c>
      <c r="G1" s="263">
        <f>D1/C1</f>
        <v/>
      </c>
      <c r="H1" s="264">
        <f>C1/B1</f>
        <v/>
      </c>
      <c r="I1" s="264">
        <f>F1/C1</f>
        <v/>
      </c>
      <c r="J1" s="264">
        <f>D1/E1</f>
        <v/>
      </c>
      <c r="K1" s="263" t="n"/>
      <c r="L1" s="263">
        <f>IFERROR(D1/F1,"N/A")</f>
        <v/>
      </c>
      <c r="M1" s="265">
        <f>E1/F1</f>
        <v/>
      </c>
      <c r="N1" s="78" t="n"/>
      <c r="O1" s="87">
        <f>C2/C1</f>
        <v/>
      </c>
      <c r="P1" s="87">
        <f>E2/E1</f>
        <v/>
      </c>
      <c r="Q1" s="87">
        <f>C2/B2</f>
        <v/>
      </c>
      <c r="R1" s="78" t="n"/>
      <c r="S1" s="266">
        <f>E1/F1</f>
        <v/>
      </c>
      <c r="T1" s="93">
        <f>D2/D1</f>
        <v/>
      </c>
      <c r="U1" s="78" t="n"/>
      <c r="V1" s="78" t="n"/>
      <c r="W1" s="78" t="n"/>
      <c r="X1" s="78" t="n"/>
      <c r="Y1" s="78" t="n"/>
      <c r="Z1" s="78" t="n"/>
      <c r="AA1" s="78" t="inlineStr">
        <is>
          <t>阶段选择</t>
        </is>
      </c>
      <c r="AB1" s="78" t="inlineStr">
        <is>
          <t>投放系数</t>
        </is>
      </c>
      <c r="AC1" s="78" t="n"/>
      <c r="AD1" s="267" t="n">
        <v>1.1</v>
      </c>
      <c r="AE1" s="99" t="n">
        <v>0.9</v>
      </c>
      <c r="AF1" s="99" t="n">
        <v>0.7</v>
      </c>
      <c r="AG1" s="78" t="inlineStr">
        <is>
          <t>TOS</t>
        </is>
      </c>
      <c r="AH1" s="78" t="n"/>
      <c r="AI1" s="78" t="n"/>
      <c r="AJ1" s="78" t="inlineStr">
        <is>
          <t>ROS</t>
        </is>
      </c>
      <c r="AK1" s="78" t="n"/>
      <c r="AL1" s="78" t="n"/>
      <c r="AM1" s="78" t="inlineStr">
        <is>
          <t>PP</t>
        </is>
      </c>
      <c r="AN1" s="78" t="n"/>
      <c r="AO1" s="78" t="n"/>
    </row>
    <row r="2" ht="20" customFormat="1" customHeight="1" s="70">
      <c r="A2" s="78" t="inlineStr">
        <is>
          <t>筛选求和</t>
        </is>
      </c>
      <c r="B2" s="78">
        <f>SUBTOTAL(9,B4:B4089)</f>
        <v/>
      </c>
      <c r="C2" s="78">
        <f>SUBTOTAL(9,C4:C4089)</f>
        <v/>
      </c>
      <c r="D2" s="78">
        <f>SUBTOTAL(9,D4:D4089)</f>
        <v/>
      </c>
      <c r="E2" s="78">
        <f>SUBTOTAL(9,E4:E4089)</f>
        <v/>
      </c>
      <c r="F2" s="78">
        <f>SUBTOTAL(9,F4:F4089)</f>
        <v/>
      </c>
      <c r="G2" s="263">
        <f>D2/C2</f>
        <v/>
      </c>
      <c r="H2" s="264">
        <f>C2/B2</f>
        <v/>
      </c>
      <c r="I2" s="264">
        <f>F2/C2</f>
        <v/>
      </c>
      <c r="J2" s="264">
        <f>D2/E2</f>
        <v/>
      </c>
      <c r="K2" s="263">
        <f>D2/B2*1000</f>
        <v/>
      </c>
      <c r="L2" s="263">
        <f>IFERROR(D2/F2,"N/A")</f>
        <v/>
      </c>
      <c r="M2" s="265">
        <f>E2/F2</f>
        <v/>
      </c>
      <c r="N2" s="88">
        <f>L2/L1</f>
        <v/>
      </c>
      <c r="O2" s="87">
        <f>F2/F1</f>
        <v/>
      </c>
      <c r="P2" s="87">
        <f>E2/E1</f>
        <v/>
      </c>
      <c r="Q2" s="87">
        <f>D2/D1</f>
        <v/>
      </c>
      <c r="R2" s="94">
        <f>P2-Q2</f>
        <v/>
      </c>
      <c r="S2" s="266">
        <f>E2/F2</f>
        <v/>
      </c>
      <c r="T2" s="95" t="n"/>
      <c r="U2" s="78" t="n"/>
      <c r="V2" s="78" t="n"/>
      <c r="W2" s="78" t="n"/>
      <c r="X2" s="78" t="n"/>
      <c r="Y2" s="78" t="n"/>
      <c r="Z2" s="78" t="n"/>
      <c r="AA2" s="78" t="n"/>
      <c r="AB2" s="78" t="n"/>
      <c r="AC2" s="78" t="n">
        <v>0.5</v>
      </c>
      <c r="AD2" s="268">
        <f>G2*$AD$1</f>
        <v/>
      </c>
      <c r="AE2" s="269">
        <f>G2*$AE$1</f>
        <v/>
      </c>
      <c r="AF2" s="269">
        <f>G2*$AF$1</f>
        <v/>
      </c>
      <c r="AG2" s="107" t="n">
        <v>0</v>
      </c>
      <c r="AH2" s="107" t="n">
        <v>0.5</v>
      </c>
      <c r="AI2" s="107" t="n">
        <v>1</v>
      </c>
      <c r="AJ2" s="107" t="n">
        <v>0</v>
      </c>
      <c r="AK2" s="107" t="n">
        <v>0.5</v>
      </c>
      <c r="AL2" s="107" t="n">
        <v>1</v>
      </c>
      <c r="AM2" s="107" t="n">
        <v>0</v>
      </c>
      <c r="AN2" s="107" t="n">
        <v>0.5</v>
      </c>
      <c r="AO2" s="107" t="n">
        <v>1</v>
      </c>
    </row>
    <row r="3" ht="100" customFormat="1" customHeight="1" s="71">
      <c r="A3" s="79" t="inlineStr">
        <is>
          <t>Customer Search Term</t>
        </is>
      </c>
      <c r="B3" s="79" t="inlineStr">
        <is>
          <t>求和项:Impressions</t>
        </is>
      </c>
      <c r="C3" s="79" t="inlineStr">
        <is>
          <t>求和项:Clicks</t>
        </is>
      </c>
      <c r="D3" s="79" t="inlineStr">
        <is>
          <t>求和项:Spend</t>
        </is>
      </c>
      <c r="E3" s="79" t="inlineStr">
        <is>
          <t>求和项:Sales</t>
        </is>
      </c>
      <c r="F3" s="79" t="inlineStr">
        <is>
          <t>求和项:Orders</t>
        </is>
      </c>
      <c r="G3" s="270" t="inlineStr">
        <is>
          <t>CPC</t>
        </is>
      </c>
      <c r="H3" s="271" t="inlineStr">
        <is>
          <t>CTR</t>
        </is>
      </c>
      <c r="I3" s="271" t="inlineStr">
        <is>
          <t>CVR</t>
        </is>
      </c>
      <c r="J3" s="271" t="inlineStr">
        <is>
          <t>ACoS</t>
        </is>
      </c>
      <c r="K3" s="270" t="inlineStr">
        <is>
          <t>CPM</t>
        </is>
      </c>
      <c r="L3" s="272" t="inlineStr">
        <is>
          <t>CPO</t>
        </is>
      </c>
      <c r="M3" s="272" t="inlineStr">
        <is>
          <t>AP</t>
        </is>
      </c>
      <c r="N3" s="89" t="inlineStr">
        <is>
          <t>Type（ASIN判断有公式）</t>
        </is>
      </c>
      <c r="O3" s="90" t="inlineStr">
        <is>
          <t>搜索词销量占比（3%）</t>
        </is>
      </c>
      <c r="P3" s="91" t="inlineStr">
        <is>
          <t>搜索词销售额占比</t>
        </is>
      </c>
      <c r="Q3" s="91" t="inlineStr">
        <is>
          <t>搜索词花费占比</t>
        </is>
      </c>
      <c r="R3" s="91" t="inlineStr">
        <is>
          <t>差值</t>
        </is>
      </c>
      <c r="S3" s="91" t="inlineStr">
        <is>
          <t xml:space="preserve">LX_ASIN </t>
        </is>
      </c>
      <c r="T3" s="91" t="inlineStr">
        <is>
          <t>luggex</t>
        </is>
      </c>
      <c r="U3" s="96" t="n"/>
      <c r="V3" s="96" t="n"/>
      <c r="W3" s="96" t="n"/>
      <c r="X3" s="96" t="inlineStr">
        <is>
          <t>ABA</t>
        </is>
      </c>
      <c r="Y3" s="96" t="inlineStr">
        <is>
          <t>流量相关性（Cvr）判断</t>
        </is>
      </c>
      <c r="Z3" s="96" t="inlineStr">
        <is>
          <t>ASIN竞争力评分（Price/Rating）</t>
        </is>
      </c>
      <c r="AA3" s="97" t="inlineStr">
        <is>
          <t>第一KPI</t>
        </is>
      </c>
      <c r="AB3" s="97" t="inlineStr">
        <is>
          <t>第二KPI</t>
        </is>
      </c>
      <c r="AC3" s="97" t="inlineStr">
        <is>
          <t>备注</t>
        </is>
      </c>
      <c r="AD3" s="273" t="inlineStr">
        <is>
          <t>Exact</t>
        </is>
      </c>
      <c r="AE3" s="103" t="inlineStr">
        <is>
          <t>Phrase</t>
        </is>
      </c>
      <c r="AF3" s="103" t="inlineStr">
        <is>
          <t>broad</t>
        </is>
      </c>
      <c r="AG3" s="47" t="inlineStr">
        <is>
          <t>TOS</t>
        </is>
      </c>
      <c r="AH3" s="47" t="inlineStr">
        <is>
          <t>TOS</t>
        </is>
      </c>
      <c r="AI3" s="47" t="inlineStr">
        <is>
          <t>TOS</t>
        </is>
      </c>
      <c r="AJ3" s="108" t="inlineStr">
        <is>
          <t>ROS</t>
        </is>
      </c>
      <c r="AK3" s="108" t="inlineStr">
        <is>
          <t>ROS</t>
        </is>
      </c>
      <c r="AL3" s="108" t="inlineStr">
        <is>
          <t>ROS</t>
        </is>
      </c>
      <c r="AM3" s="64" t="inlineStr">
        <is>
          <t>PP</t>
        </is>
      </c>
      <c r="AN3" s="64" t="inlineStr">
        <is>
          <t>PP</t>
        </is>
      </c>
      <c r="AO3" s="64" t="inlineStr">
        <is>
          <t>PP</t>
        </is>
      </c>
    </row>
    <row r="4" customFormat="1" s="72">
      <c r="A4" s="72" t="n"/>
      <c r="B4" s="72" t="n"/>
      <c r="C4" s="72" t="n"/>
      <c r="D4" s="72" t="n"/>
      <c r="E4" s="72" t="n"/>
      <c r="F4" s="72" t="n"/>
      <c r="G4" s="260" t="n"/>
      <c r="H4" s="261" t="n"/>
      <c r="I4" s="261" t="n"/>
      <c r="J4" s="261" t="n"/>
      <c r="K4" s="260" t="n"/>
      <c r="L4" s="260" t="n"/>
      <c r="M4" s="260" t="n"/>
      <c r="N4" s="110" t="n"/>
      <c r="O4" s="75" t="n"/>
      <c r="P4" s="75" t="n"/>
      <c r="Q4" s="75" t="n"/>
      <c r="R4" s="75" t="n"/>
      <c r="S4" s="76" t="n"/>
      <c r="T4" s="110" t="n"/>
      <c r="U4" s="110" t="n"/>
      <c r="V4" s="110" t="n"/>
      <c r="W4" s="110" t="n"/>
      <c r="X4" s="110" t="n"/>
      <c r="Y4" s="110" t="n"/>
      <c r="Z4" s="110" t="n"/>
      <c r="AA4" s="110" t="n"/>
      <c r="AB4" s="110" t="n"/>
      <c r="AC4" s="110" t="n"/>
      <c r="AD4" s="262" t="n"/>
      <c r="AE4" s="110" t="n"/>
      <c r="AF4" s="110" t="n"/>
      <c r="AG4" s="110" t="n"/>
      <c r="AH4" s="110" t="n"/>
      <c r="AI4" s="110" t="n"/>
      <c r="AJ4" s="110" t="n"/>
      <c r="AK4" s="110" t="n"/>
      <c r="AL4" s="110" t="n"/>
      <c r="AM4" s="110" t="n"/>
      <c r="AN4" s="110" t="n"/>
      <c r="AO4" s="110" t="n"/>
      <c r="AP4" s="110" t="n"/>
      <c r="AQ4" s="110" t="n"/>
    </row>
    <row r="5" customFormat="1" s="72"/>
    <row r="6" customFormat="1" s="72"/>
    <row r="7" customFormat="1" s="72"/>
    <row r="8" customFormat="1" s="72"/>
    <row r="9" customFormat="1" s="72"/>
    <row r="10" customFormat="1" s="72"/>
    <row r="11" customFormat="1" s="72"/>
    <row r="12" customFormat="1" s="72"/>
    <row r="13" customFormat="1" s="72"/>
    <row r="14" customFormat="1" s="72"/>
    <row r="15" customFormat="1" s="72"/>
    <row r="16" customFormat="1" s="72"/>
    <row r="17" customFormat="1" s="72"/>
    <row r="18" customFormat="1" s="72"/>
    <row r="19" customFormat="1" s="72"/>
    <row r="20" customFormat="1" s="72"/>
    <row r="21" customFormat="1" s="72"/>
    <row r="22" customFormat="1" s="72"/>
    <row r="23" customFormat="1" s="72"/>
    <row r="24" customFormat="1" s="72"/>
    <row r="25" customFormat="1" s="72"/>
    <row r="26" customFormat="1" s="72"/>
    <row r="27" customFormat="1" s="72"/>
    <row r="28" customFormat="1" s="72"/>
    <row r="29" customFormat="1" s="72"/>
    <row r="30" customFormat="1" s="72"/>
    <row r="31" customFormat="1" s="72"/>
    <row r="32" customFormat="1" s="72"/>
    <row r="33" customFormat="1" s="72"/>
    <row r="34" customFormat="1" s="72"/>
    <row r="35" customFormat="1" s="72"/>
    <row r="36" customFormat="1" s="72"/>
    <row r="37" customFormat="1" s="72"/>
    <row r="38" customFormat="1" s="72"/>
    <row r="39" customFormat="1" s="72"/>
    <row r="40" customFormat="1" s="72"/>
    <row r="41" customFormat="1" s="72"/>
    <row r="42" customFormat="1" s="72"/>
    <row r="43" customFormat="1" s="72"/>
    <row r="44" customFormat="1" s="72"/>
    <row r="45" customFormat="1" s="72"/>
    <row r="46" customFormat="1" s="72"/>
    <row r="47" customFormat="1" s="72"/>
    <row r="48" customFormat="1" s="72"/>
    <row r="49" customFormat="1" s="72"/>
    <row r="50" customFormat="1" s="72"/>
    <row r="51" customFormat="1" s="72"/>
    <row r="52" customFormat="1" s="72"/>
    <row r="53" customFormat="1" s="72"/>
    <row r="54" customFormat="1" s="72"/>
    <row r="55" customFormat="1" s="72"/>
    <row r="56" customFormat="1" s="72"/>
    <row r="57" customFormat="1" s="72"/>
    <row r="58" customFormat="1" s="72"/>
    <row r="59" customFormat="1" s="72"/>
    <row r="60" customFormat="1" s="72"/>
    <row r="61" customFormat="1" s="72"/>
    <row r="62" customFormat="1" s="72"/>
    <row r="63" customFormat="1" s="72"/>
    <row r="64" customFormat="1" s="72"/>
    <row r="65" customFormat="1" s="72"/>
    <row r="66" customFormat="1" s="72"/>
    <row r="67" customFormat="1" s="72"/>
    <row r="68" customFormat="1" s="72"/>
    <row r="69" customFormat="1" s="72"/>
    <row r="70" customFormat="1" s="72"/>
    <row r="71" customFormat="1" s="72"/>
    <row r="72" customFormat="1" s="72"/>
    <row r="73" customFormat="1" s="72"/>
    <row r="74" customFormat="1" s="72"/>
    <row r="75" customFormat="1" s="72"/>
    <row r="76" customFormat="1" s="72"/>
    <row r="77" customFormat="1" s="72"/>
    <row r="78" customFormat="1" s="72"/>
    <row r="79" customFormat="1" s="72"/>
    <row r="80" customFormat="1" s="72"/>
    <row r="81" customFormat="1" s="72"/>
    <row r="82" customFormat="1" s="72"/>
    <row r="83" customFormat="1" s="72"/>
    <row r="84" customFormat="1" s="72"/>
    <row r="85" customFormat="1" s="72"/>
    <row r="86" customFormat="1" s="72"/>
    <row r="87" customFormat="1" s="72"/>
    <row r="88" customFormat="1" s="72"/>
    <row r="89" customFormat="1" s="72"/>
    <row r="90" customFormat="1" s="72"/>
    <row r="91" customFormat="1" s="72"/>
    <row r="92" customFormat="1" s="72"/>
    <row r="93" customFormat="1" s="72"/>
    <row r="94" customFormat="1" s="72"/>
    <row r="95" customFormat="1" s="72"/>
    <row r="96" customFormat="1" s="72"/>
    <row r="97" customFormat="1" s="72"/>
    <row r="98" customFormat="1" s="72"/>
    <row r="99" customFormat="1" s="72"/>
    <row r="100" customFormat="1" s="72"/>
    <row r="101" customFormat="1" s="72"/>
    <row r="102" customFormat="1" s="72"/>
    <row r="103" customFormat="1" s="72"/>
    <row r="104" customFormat="1" s="72"/>
    <row r="105" customFormat="1" s="72"/>
    <row r="106" customFormat="1" s="72"/>
    <row r="107" customFormat="1" s="72"/>
    <row r="108" customFormat="1" s="72"/>
    <row r="109" customFormat="1" s="72"/>
    <row r="110" customFormat="1" s="72"/>
    <row r="111" customFormat="1" s="72"/>
    <row r="112" customFormat="1" s="72"/>
    <row r="113" customFormat="1" s="72"/>
    <row r="114" customFormat="1" s="72"/>
    <row r="115" customFormat="1" s="72"/>
    <row r="116" customFormat="1" s="72"/>
    <row r="117" customFormat="1" s="72"/>
    <row r="118" customFormat="1" s="72"/>
    <row r="119" customFormat="1" s="72"/>
    <row r="120" customFormat="1" s="72"/>
    <row r="121" customFormat="1" s="72"/>
    <row r="122" customFormat="1" s="72"/>
    <row r="123" customFormat="1" s="72"/>
    <row r="124" customFormat="1" s="72"/>
    <row r="125" customFormat="1" s="72"/>
    <row r="126" customFormat="1" s="72"/>
    <row r="127" customFormat="1" s="72"/>
    <row r="128" customFormat="1" s="72"/>
    <row r="129" customFormat="1" s="72"/>
    <row r="130" customFormat="1" s="72"/>
    <row r="131" customFormat="1" s="72"/>
    <row r="132" customFormat="1" s="72"/>
    <row r="133" customFormat="1" s="72"/>
    <row r="134" customFormat="1" s="72"/>
    <row r="135" customFormat="1" s="72"/>
    <row r="136" customFormat="1" s="72"/>
    <row r="137" customFormat="1" s="72"/>
    <row r="138" customFormat="1" s="72"/>
    <row r="139" customFormat="1" s="72"/>
    <row r="140" customFormat="1" s="72"/>
    <row r="141" customFormat="1" s="72"/>
    <row r="142" customFormat="1" s="72"/>
    <row r="143" customFormat="1" s="72"/>
    <row r="144" customFormat="1" s="72"/>
    <row r="145" customFormat="1" s="72"/>
    <row r="146" customFormat="1" s="72"/>
    <row r="147" customFormat="1" s="72"/>
    <row r="148" customFormat="1" s="72"/>
    <row r="149" customFormat="1" s="72"/>
    <row r="150" customFormat="1" s="72"/>
    <row r="151" customFormat="1" s="72"/>
    <row r="152" customFormat="1" s="72"/>
    <row r="153" customFormat="1" s="72"/>
    <row r="154" customFormat="1" s="72"/>
    <row r="155" customFormat="1" s="72"/>
    <row r="156" customFormat="1" s="72"/>
    <row r="157" customFormat="1" s="72"/>
    <row r="158" customFormat="1" s="72"/>
    <row r="159" customFormat="1" s="72"/>
    <row r="160" customFormat="1" s="72"/>
    <row r="161" customFormat="1" s="72"/>
    <row r="162" customFormat="1" s="72"/>
    <row r="163" customFormat="1" s="72"/>
    <row r="164" customFormat="1" s="72"/>
    <row r="165" customFormat="1" s="72"/>
    <row r="166" customFormat="1" s="72"/>
    <row r="167" customFormat="1" s="72"/>
    <row r="168" customFormat="1" s="72"/>
    <row r="169" customFormat="1" s="72"/>
    <row r="170" customFormat="1" s="72"/>
    <row r="171" customFormat="1" s="72"/>
    <row r="172" customFormat="1" s="72"/>
    <row r="173" customFormat="1" s="72"/>
    <row r="174" customFormat="1" s="72"/>
    <row r="175" customFormat="1" s="72"/>
    <row r="176" customFormat="1" s="72"/>
    <row r="177" customFormat="1" s="72"/>
    <row r="178" customFormat="1" s="72"/>
    <row r="179" customFormat="1" s="72"/>
    <row r="180" customFormat="1" s="72"/>
    <row r="181" customFormat="1" s="72"/>
    <row r="182" customFormat="1" s="72"/>
    <row r="183" customFormat="1" s="72"/>
    <row r="184" customFormat="1" s="72"/>
    <row r="185" customFormat="1" s="72"/>
    <row r="186" customFormat="1" s="72"/>
    <row r="187" customFormat="1" s="72"/>
    <row r="188" customFormat="1" s="72"/>
    <row r="189" customFormat="1" s="72"/>
    <row r="190" customFormat="1" s="72"/>
    <row r="191" customFormat="1" s="72"/>
    <row r="192" customFormat="1" s="72"/>
    <row r="193" customFormat="1" s="72"/>
    <row r="194" customFormat="1" s="72"/>
    <row r="195" customFormat="1" s="72"/>
    <row r="196" customFormat="1" s="72"/>
    <row r="197" customFormat="1" s="72"/>
    <row r="198" customFormat="1" s="72"/>
    <row r="199" customFormat="1" s="72"/>
    <row r="200" customFormat="1" s="72"/>
    <row r="201" customFormat="1" s="72"/>
    <row r="202" customFormat="1" s="72"/>
    <row r="203" customFormat="1" s="72"/>
    <row r="204" customFormat="1" s="72"/>
    <row r="205" customFormat="1" s="72"/>
    <row r="206" customFormat="1" s="72"/>
    <row r="207" customFormat="1" s="72"/>
    <row r="208" customFormat="1" s="72"/>
    <row r="209" customFormat="1" s="72"/>
    <row r="210" customFormat="1" s="72"/>
    <row r="211" customFormat="1" s="72"/>
    <row r="212" customFormat="1" s="72"/>
    <row r="213" customFormat="1" s="72"/>
    <row r="214" customFormat="1" s="72"/>
    <row r="215" customFormat="1" s="72"/>
    <row r="216" customFormat="1" s="72"/>
    <row r="217" customFormat="1" s="72"/>
    <row r="218" customFormat="1" s="72"/>
    <row r="219" customFormat="1" s="72"/>
    <row r="220" customFormat="1" s="72"/>
    <row r="221" customFormat="1" s="72"/>
    <row r="222" customFormat="1" s="72"/>
    <row r="223" customFormat="1" s="72"/>
    <row r="224" customFormat="1" s="72"/>
    <row r="225" customFormat="1" s="72"/>
    <row r="226" customFormat="1" s="72"/>
    <row r="227" customFormat="1" s="72"/>
    <row r="228" customFormat="1" s="72"/>
    <row r="229" customFormat="1" s="72"/>
    <row r="230" customFormat="1" s="72"/>
    <row r="231" customFormat="1" s="72"/>
    <row r="232" customFormat="1" s="72"/>
    <row r="233" customFormat="1" s="72"/>
    <row r="234" customFormat="1" s="72"/>
    <row r="235" customFormat="1" s="72"/>
    <row r="236" customFormat="1" s="72"/>
    <row r="237" customFormat="1" s="72"/>
    <row r="238" customFormat="1" s="72"/>
    <row r="239" customFormat="1" s="72"/>
    <row r="240" customFormat="1" s="72"/>
    <row r="241" customFormat="1" s="72"/>
    <row r="242" customFormat="1" s="72"/>
    <row r="243" customFormat="1" s="72"/>
    <row r="244" customFormat="1" s="72"/>
    <row r="245" customFormat="1" s="72"/>
    <row r="246" customFormat="1" s="72"/>
    <row r="247" customFormat="1" s="72"/>
    <row r="248" customFormat="1" s="72"/>
    <row r="249" customFormat="1" s="72"/>
    <row r="250" customFormat="1" s="72"/>
    <row r="251" customFormat="1" s="72"/>
    <row r="252" customFormat="1" s="72"/>
    <row r="253" customFormat="1" s="72"/>
    <row r="254" customFormat="1" s="72"/>
    <row r="255" customFormat="1" s="72"/>
    <row r="256" customFormat="1" s="72"/>
    <row r="257" customFormat="1" s="72"/>
    <row r="258" customFormat="1" s="72"/>
    <row r="259" customFormat="1" s="72"/>
    <row r="260" customFormat="1" s="72"/>
    <row r="261" customFormat="1" s="72"/>
    <row r="262" customFormat="1" s="72"/>
    <row r="263" customFormat="1" s="72"/>
    <row r="264" customFormat="1" s="72"/>
    <row r="265" customFormat="1" s="72"/>
    <row r="266" customFormat="1" s="72"/>
    <row r="267" customFormat="1" s="72"/>
    <row r="268" customFormat="1" s="72"/>
    <row r="269" customFormat="1" s="72"/>
    <row r="270" customFormat="1" s="72"/>
    <row r="271" customFormat="1" s="72"/>
    <row r="272" customFormat="1" s="72"/>
    <row r="273" customFormat="1" s="72"/>
    <row r="274" customFormat="1" s="72"/>
    <row r="275" customFormat="1" s="72"/>
    <row r="276" customFormat="1" s="72"/>
    <row r="277" customFormat="1" s="72"/>
    <row r="278" customFormat="1" s="72"/>
    <row r="279" customFormat="1" s="72"/>
    <row r="280" customFormat="1" s="72"/>
    <row r="281" customFormat="1" s="72"/>
    <row r="282" customFormat="1" s="72"/>
    <row r="283" customFormat="1" s="72"/>
    <row r="284" customFormat="1" s="72"/>
    <row r="285" customFormat="1" s="72"/>
    <row r="286" customFormat="1" s="72"/>
    <row r="287" customFormat="1" s="72"/>
    <row r="288" customFormat="1" s="72"/>
    <row r="289" customFormat="1" s="72"/>
    <row r="290" customFormat="1" s="72"/>
    <row r="291" customFormat="1" s="72"/>
    <row r="292" customFormat="1" s="72"/>
    <row r="293" customFormat="1" s="72"/>
    <row r="294" customFormat="1" s="72"/>
    <row r="295" customFormat="1" s="72"/>
    <row r="296" customFormat="1" s="72"/>
    <row r="297" customFormat="1" s="72"/>
    <row r="298" customFormat="1" s="72"/>
    <row r="299" customFormat="1" s="72"/>
    <row r="300" customFormat="1" s="72"/>
    <row r="301" customFormat="1" s="72"/>
    <row r="302" customFormat="1" s="72"/>
    <row r="303" customFormat="1" s="72"/>
    <row r="304" customFormat="1" s="72"/>
    <row r="305" customFormat="1" s="72"/>
    <row r="306" customFormat="1" s="72"/>
    <row r="307" customFormat="1" s="72"/>
    <row r="308" customFormat="1" s="72"/>
    <row r="309" customFormat="1" s="72"/>
    <row r="310" customFormat="1" s="72"/>
    <row r="311" customFormat="1" s="72"/>
    <row r="312" customFormat="1" s="72"/>
    <row r="313" customFormat="1" s="72"/>
    <row r="314" customFormat="1" s="72"/>
    <row r="315" customFormat="1" s="72"/>
    <row r="316" customFormat="1" s="72"/>
    <row r="317" customFormat="1" s="72"/>
    <row r="318" customFormat="1" s="72"/>
    <row r="319" customFormat="1" s="72"/>
    <row r="320" customFormat="1" s="72"/>
    <row r="321" customFormat="1" s="72"/>
    <row r="322" customFormat="1" s="72"/>
    <row r="323" customFormat="1" s="72"/>
    <row r="324" customFormat="1" s="72"/>
    <row r="325" customFormat="1" s="72"/>
    <row r="326" customFormat="1" s="72"/>
    <row r="327" customFormat="1" s="72"/>
    <row r="328" customFormat="1" s="72"/>
    <row r="329" customFormat="1" s="72"/>
    <row r="330" customFormat="1" s="72"/>
    <row r="331" customFormat="1" s="72"/>
    <row r="332" customFormat="1" s="72"/>
    <row r="333" customFormat="1" s="72"/>
    <row r="334" customFormat="1" s="72"/>
    <row r="335" customFormat="1" s="72"/>
    <row r="336" customFormat="1" s="72"/>
    <row r="337" customFormat="1" s="72"/>
    <row r="338" customFormat="1" s="72"/>
    <row r="339" customFormat="1" s="72"/>
    <row r="340" customFormat="1" s="72"/>
    <row r="341" customFormat="1" s="72"/>
    <row r="342" customFormat="1" s="72"/>
    <row r="343" customFormat="1" s="72"/>
    <row r="344" customFormat="1" s="72"/>
    <row r="345" customFormat="1" s="72"/>
    <row r="346" customFormat="1" s="72"/>
    <row r="347" customFormat="1" s="72"/>
    <row r="348" customFormat="1" s="72"/>
    <row r="349" customFormat="1" s="72"/>
    <row r="350" customFormat="1" s="72"/>
    <row r="351" customFormat="1" s="72"/>
    <row r="352" customFormat="1" s="72"/>
    <row r="353" customFormat="1" s="72"/>
    <row r="354" customFormat="1" s="72"/>
    <row r="355" customFormat="1" s="72"/>
    <row r="356" customFormat="1" s="72"/>
    <row r="357" customFormat="1" s="72"/>
    <row r="358" customFormat="1" s="72"/>
    <row r="359" customFormat="1" s="72"/>
    <row r="360" customFormat="1" s="72"/>
    <row r="361" customFormat="1" s="72"/>
    <row r="362" customFormat="1" s="72"/>
    <row r="363" customFormat="1" s="72"/>
    <row r="364" customFormat="1" s="72"/>
    <row r="365" customFormat="1" s="72"/>
    <row r="366" customFormat="1" s="72"/>
    <row r="367" customFormat="1" s="72"/>
    <row r="368" customFormat="1" s="72"/>
    <row r="369" customFormat="1" s="72"/>
    <row r="370" customFormat="1" s="72"/>
    <row r="371" customFormat="1" s="72"/>
    <row r="372" customFormat="1" s="72"/>
    <row r="373" customFormat="1" s="72"/>
    <row r="374" customFormat="1" s="72"/>
    <row r="375" customFormat="1" s="72"/>
    <row r="376" customFormat="1" s="72"/>
    <row r="377" customFormat="1" s="72"/>
    <row r="378" customFormat="1" s="72"/>
    <row r="379" customFormat="1" s="72"/>
    <row r="380" customFormat="1" s="72"/>
    <row r="381" customFormat="1" s="72"/>
    <row r="382" customFormat="1" s="72"/>
    <row r="383" customFormat="1" s="72"/>
    <row r="384" customFormat="1" s="72"/>
    <row r="385" customFormat="1" s="72"/>
    <row r="386" customFormat="1" s="72"/>
    <row r="387" customFormat="1" s="72"/>
    <row r="388" customFormat="1" s="72"/>
    <row r="389" customFormat="1" s="72"/>
    <row r="390" customFormat="1" s="72"/>
    <row r="391" customFormat="1" s="72"/>
    <row r="392" customFormat="1" s="72"/>
    <row r="393" customFormat="1" s="72"/>
    <row r="394" customFormat="1" s="72"/>
    <row r="395" customFormat="1" s="72"/>
    <row r="396" customFormat="1" s="72"/>
    <row r="397" customFormat="1" s="72"/>
    <row r="398" customFormat="1" s="72"/>
    <row r="399" customFormat="1" s="72"/>
    <row r="400" customFormat="1" s="72"/>
    <row r="401" customFormat="1" s="72"/>
    <row r="402" customFormat="1" s="72"/>
    <row r="403" customFormat="1" s="72"/>
    <row r="404" customFormat="1" s="72"/>
    <row r="405" customFormat="1" s="72"/>
    <row r="406" customFormat="1" s="72"/>
    <row r="407" customFormat="1" s="72"/>
    <row r="408" customFormat="1" s="72"/>
    <row r="409" customFormat="1" s="72"/>
    <row r="410" customFormat="1" s="72"/>
    <row r="411" customFormat="1" s="72"/>
    <row r="412" customFormat="1" s="72"/>
    <row r="413" customFormat="1" s="72"/>
    <row r="414" customFormat="1" s="72"/>
    <row r="415" customFormat="1" s="72"/>
    <row r="416" customFormat="1" s="72"/>
    <row r="417" customFormat="1" s="72"/>
    <row r="418" customFormat="1" s="72"/>
    <row r="419" customFormat="1" s="72"/>
    <row r="420" customFormat="1" s="72"/>
    <row r="421" customFormat="1" s="72"/>
    <row r="422" customFormat="1" s="72"/>
    <row r="423" customFormat="1" s="72"/>
    <row r="424" customFormat="1" s="72"/>
    <row r="425" customFormat="1" s="72"/>
    <row r="426" customFormat="1" s="72"/>
    <row r="427" customFormat="1" s="72"/>
    <row r="428" customFormat="1" s="72"/>
    <row r="429" customFormat="1" s="72"/>
    <row r="430" customFormat="1" s="72"/>
    <row r="431" customFormat="1" s="72"/>
    <row r="432" customFormat="1" s="72"/>
    <row r="433" customFormat="1" s="72"/>
    <row r="434" customFormat="1" s="72"/>
    <row r="435" customFormat="1" s="72"/>
    <row r="436" customFormat="1" s="72"/>
    <row r="437" customFormat="1" s="72"/>
    <row r="438" customFormat="1" s="72"/>
    <row r="439" customFormat="1" s="72"/>
    <row r="440" customFormat="1" s="72"/>
    <row r="441" customFormat="1" s="72"/>
    <row r="442" customFormat="1" s="72"/>
    <row r="443" customFormat="1" s="72"/>
    <row r="444" customFormat="1" s="72"/>
    <row r="445" customFormat="1" s="72"/>
    <row r="446" customFormat="1" s="72"/>
    <row r="447" customFormat="1" s="72"/>
    <row r="448" customFormat="1" s="72"/>
    <row r="449" customFormat="1" s="72"/>
    <row r="450" customFormat="1" s="72"/>
    <row r="451" customFormat="1" s="72"/>
    <row r="452" customFormat="1" s="72"/>
    <row r="453" customFormat="1" s="72"/>
    <row r="454" customFormat="1" s="72"/>
    <row r="455" customFormat="1" s="72"/>
    <row r="456" customFormat="1" s="72"/>
    <row r="457" customFormat="1" s="72"/>
    <row r="458" customFormat="1" s="72"/>
    <row r="459" customFormat="1" s="72"/>
    <row r="460" customFormat="1" s="72"/>
    <row r="461" customFormat="1" s="72"/>
    <row r="462" customFormat="1" s="72"/>
    <row r="463" customFormat="1" s="72"/>
    <row r="464" customFormat="1" s="72"/>
    <row r="465" customFormat="1" s="72"/>
    <row r="466" customFormat="1" s="72"/>
    <row r="467" customFormat="1" s="72"/>
    <row r="468" customFormat="1" s="72"/>
    <row r="469" customFormat="1" s="72"/>
    <row r="470" customFormat="1" s="72"/>
    <row r="471" customFormat="1" s="72"/>
    <row r="472" customFormat="1" s="72"/>
    <row r="473" customFormat="1" s="72"/>
    <row r="474" customFormat="1" s="72"/>
    <row r="475" customFormat="1" s="72"/>
    <row r="476" customFormat="1" s="72"/>
    <row r="477" customFormat="1" s="72"/>
    <row r="478" customFormat="1" s="72"/>
    <row r="479" customFormat="1" s="72"/>
    <row r="480" customFormat="1" s="72"/>
    <row r="481" customFormat="1" s="72"/>
    <row r="482" customFormat="1" s="72"/>
    <row r="483" customFormat="1" s="72"/>
    <row r="484" customFormat="1" s="72"/>
    <row r="485" customFormat="1" s="72"/>
    <row r="486" customFormat="1" s="72"/>
    <row r="487" customFormat="1" s="72"/>
    <row r="488" customFormat="1" s="72"/>
    <row r="489" customFormat="1" s="72"/>
    <row r="490" customFormat="1" s="72"/>
    <row r="491" customFormat="1" s="72"/>
    <row r="492" customFormat="1" s="72"/>
    <row r="493" customFormat="1" s="72"/>
    <row r="494" customFormat="1" s="72"/>
    <row r="495" customFormat="1" s="72"/>
    <row r="496" customFormat="1" s="72"/>
    <row r="497" customFormat="1" s="72"/>
    <row r="498" customFormat="1" s="72"/>
    <row r="499" customFormat="1" s="72"/>
    <row r="500" customFormat="1" s="72"/>
    <row r="501" customFormat="1" s="72"/>
    <row r="502" customFormat="1" s="72"/>
    <row r="503" customFormat="1" s="72"/>
    <row r="504" customFormat="1" s="72"/>
    <row r="505" customFormat="1" s="72"/>
    <row r="506" customFormat="1" s="72"/>
    <row r="507" customFormat="1" s="72"/>
    <row r="508" customFormat="1" s="72"/>
    <row r="509" customFormat="1" s="72"/>
    <row r="510" customFormat="1" s="72"/>
    <row r="511" customFormat="1" s="72"/>
    <row r="512" customFormat="1" s="72"/>
    <row r="513" customFormat="1" s="72"/>
    <row r="514" customFormat="1" s="72"/>
    <row r="515" customFormat="1" s="72"/>
    <row r="516" customFormat="1" s="72"/>
    <row r="517" customFormat="1" s="72"/>
    <row r="518" customFormat="1" s="72"/>
    <row r="519" customFormat="1" s="72"/>
    <row r="520" customFormat="1" s="72"/>
    <row r="521" customFormat="1" s="72"/>
    <row r="522" customFormat="1" s="72"/>
    <row r="523" customFormat="1" s="72"/>
    <row r="524" customFormat="1" s="72"/>
    <row r="525" customFormat="1" s="72"/>
    <row r="526" customFormat="1" s="72"/>
    <row r="527" customFormat="1" s="72"/>
    <row r="528" customFormat="1" s="72"/>
    <row r="529" customFormat="1" s="72"/>
    <row r="530" customFormat="1" s="72"/>
    <row r="531" customFormat="1" s="72"/>
    <row r="532" customFormat="1" s="72"/>
    <row r="533" customFormat="1" s="72"/>
    <row r="534" customFormat="1" s="72"/>
    <row r="535" customFormat="1" s="72"/>
    <row r="536" customFormat="1" s="72"/>
    <row r="537" customFormat="1" s="72"/>
    <row r="538" customFormat="1" s="72"/>
    <row r="539" customFormat="1" s="72"/>
    <row r="540" customFormat="1" s="72"/>
    <row r="541" customFormat="1" s="72"/>
    <row r="542" customFormat="1" s="72"/>
    <row r="543" customFormat="1" s="72"/>
    <row r="544" customFormat="1" s="72"/>
    <row r="545" customFormat="1" s="72"/>
    <row r="546" customFormat="1" s="72"/>
    <row r="547" customFormat="1" s="72"/>
    <row r="548" customFormat="1" s="72"/>
    <row r="549" customFormat="1" s="72"/>
    <row r="550" customFormat="1" s="72"/>
    <row r="551" customFormat="1" s="72"/>
    <row r="552" customFormat="1" s="72"/>
    <row r="553" customFormat="1" s="72"/>
    <row r="554" customFormat="1" s="72"/>
    <row r="555" customFormat="1" s="72"/>
    <row r="556" customFormat="1" s="72"/>
    <row r="557" customFormat="1" s="72"/>
    <row r="558" customFormat="1" s="72"/>
    <row r="559" customFormat="1" s="72"/>
    <row r="560" customFormat="1" s="72"/>
    <row r="561" customFormat="1" s="72"/>
    <row r="562" customFormat="1" s="72"/>
    <row r="563" customFormat="1" s="72"/>
    <row r="564" customFormat="1" s="72"/>
    <row r="565" customFormat="1" s="72"/>
    <row r="566" customFormat="1" s="72"/>
    <row r="567" customFormat="1" s="72"/>
    <row r="568" customFormat="1" s="72"/>
    <row r="569" customFormat="1" s="72"/>
    <row r="570" customFormat="1" s="72"/>
    <row r="571" customFormat="1" s="72"/>
    <row r="572" customFormat="1" s="72"/>
    <row r="573" customFormat="1" s="72"/>
    <row r="574" customFormat="1" s="72"/>
    <row r="575" customFormat="1" s="72"/>
    <row r="576" customFormat="1" s="72"/>
    <row r="577" customFormat="1" s="72"/>
    <row r="578" customFormat="1" s="72"/>
    <row r="579" customFormat="1" s="72"/>
    <row r="580" customFormat="1" s="72"/>
    <row r="581" customFormat="1" s="72"/>
    <row r="582" customFormat="1" s="72"/>
    <row r="583" customFormat="1" s="72"/>
    <row r="584" customFormat="1" s="72"/>
    <row r="585" customFormat="1" s="72"/>
    <row r="586" customFormat="1" s="72"/>
    <row r="587" customFormat="1" s="72"/>
    <row r="588" customFormat="1" s="72"/>
    <row r="589" customFormat="1" s="72"/>
    <row r="590" customFormat="1" s="72"/>
    <row r="591" customFormat="1" s="72"/>
    <row r="592" customFormat="1" s="72"/>
    <row r="593" customFormat="1" s="72"/>
    <row r="594" customFormat="1" s="72"/>
    <row r="595" customFormat="1" s="72"/>
    <row r="596" customFormat="1" s="72"/>
    <row r="597" customFormat="1" s="72"/>
    <row r="598" customFormat="1" s="72"/>
    <row r="599" customFormat="1" s="72"/>
    <row r="600" customFormat="1" s="72"/>
    <row r="601" customFormat="1" s="72"/>
    <row r="602" customFormat="1" s="72"/>
    <row r="603" customFormat="1" s="72"/>
    <row r="604" customFormat="1" s="72"/>
    <row r="605" customFormat="1" s="72"/>
    <row r="606" customFormat="1" s="72"/>
    <row r="607" customFormat="1" s="72"/>
    <row r="608" customFormat="1" s="72"/>
    <row r="609" customFormat="1" s="72"/>
    <row r="610" customFormat="1" s="72"/>
    <row r="611" customFormat="1" s="72"/>
    <row r="612" customFormat="1" s="72"/>
    <row r="613" customFormat="1" s="72"/>
    <row r="614" customFormat="1" s="72"/>
    <row r="615" customFormat="1" s="72"/>
    <row r="616" customFormat="1" s="72"/>
    <row r="617" customFormat="1" s="72"/>
    <row r="618" customFormat="1" s="72"/>
    <row r="619" customFormat="1" s="72"/>
    <row r="620" customFormat="1" s="72"/>
    <row r="621" customFormat="1" s="72"/>
    <row r="622" customFormat="1" s="72"/>
    <row r="623" customFormat="1" s="72"/>
    <row r="624" customFormat="1" s="72"/>
    <row r="625" customFormat="1" s="72"/>
    <row r="626" customFormat="1" s="72"/>
    <row r="627" customFormat="1" s="72"/>
    <row r="628" customFormat="1" s="72"/>
    <row r="629" customFormat="1" s="72"/>
    <row r="630" customFormat="1" s="72"/>
    <row r="631" customFormat="1" s="72"/>
    <row r="632" customFormat="1" s="72"/>
    <row r="633" customFormat="1" s="72"/>
    <row r="634" customFormat="1" s="72"/>
    <row r="635" customFormat="1" s="72"/>
    <row r="636" customFormat="1" s="72"/>
    <row r="637" customFormat="1" s="72"/>
    <row r="638" customFormat="1" s="72"/>
    <row r="639" customFormat="1" s="72"/>
    <row r="640" customFormat="1" s="72"/>
    <row r="641" customFormat="1" s="72"/>
    <row r="642" customFormat="1" s="72"/>
    <row r="643" customFormat="1" s="72"/>
    <row r="644" customFormat="1" s="72"/>
    <row r="645" customFormat="1" s="72"/>
    <row r="646" customFormat="1" s="72"/>
    <row r="647" customFormat="1" s="72"/>
    <row r="648" customFormat="1" s="72"/>
    <row r="649" customFormat="1" s="72"/>
    <row r="650" customFormat="1" s="72"/>
    <row r="651" customFormat="1" s="72"/>
    <row r="652" customFormat="1" s="72"/>
    <row r="653" customFormat="1" s="72"/>
    <row r="654" customFormat="1" s="72"/>
    <row r="655" customFormat="1" s="72"/>
    <row r="656" customFormat="1" s="72"/>
    <row r="657" customFormat="1" s="72"/>
    <row r="658" customFormat="1" s="72"/>
    <row r="659" customFormat="1" s="72"/>
    <row r="660" customFormat="1" s="72"/>
    <row r="661" customFormat="1" s="72"/>
    <row r="662" customFormat="1" s="72"/>
    <row r="663" customFormat="1" s="72"/>
    <row r="664" customFormat="1" s="72"/>
    <row r="665" customFormat="1" s="72"/>
    <row r="666" customFormat="1" s="72"/>
    <row r="667" customFormat="1" s="72"/>
    <row r="668" customFormat="1" s="72"/>
    <row r="669" customFormat="1" s="72"/>
    <row r="670" customFormat="1" s="72"/>
    <row r="671" customFormat="1" s="72"/>
    <row r="672" customFormat="1" s="72"/>
    <row r="673" customFormat="1" s="72"/>
    <row r="674" customFormat="1" s="72"/>
    <row r="675" customFormat="1" s="72"/>
    <row r="676" customFormat="1" s="72"/>
    <row r="677" customFormat="1" s="72"/>
    <row r="678" customFormat="1" s="72"/>
    <row r="679" customFormat="1" s="72"/>
    <row r="680" customFormat="1" s="72"/>
    <row r="681" customFormat="1" s="72"/>
    <row r="682" customFormat="1" s="72"/>
    <row r="683" customFormat="1" s="72"/>
    <row r="684" customFormat="1" s="72"/>
    <row r="685" customFormat="1" s="72"/>
    <row r="686" customFormat="1" s="72"/>
    <row r="687" customFormat="1" s="72"/>
    <row r="688" customFormat="1" s="72"/>
    <row r="689" customFormat="1" s="72"/>
    <row r="690" customFormat="1" s="72"/>
    <row r="691" customFormat="1" s="72"/>
    <row r="692" customFormat="1" s="72"/>
    <row r="693" customFormat="1" s="72"/>
    <row r="694" customFormat="1" s="72"/>
    <row r="695" customFormat="1" s="72"/>
    <row r="696" customFormat="1" s="72"/>
    <row r="697" customFormat="1" s="72"/>
    <row r="698" customFormat="1" s="72"/>
    <row r="699" customFormat="1" s="72"/>
    <row r="700" customFormat="1" s="72"/>
    <row r="701" customFormat="1" s="72"/>
    <row r="702" customFormat="1" s="72"/>
    <row r="703" customFormat="1" s="72"/>
    <row r="704" customFormat="1" s="72"/>
    <row r="705" customFormat="1" s="72"/>
    <row r="706" customFormat="1" s="72"/>
    <row r="707" customFormat="1" s="72"/>
    <row r="708" customFormat="1" s="72"/>
    <row r="709" customFormat="1" s="72"/>
    <row r="710" customFormat="1" s="72"/>
    <row r="711" customFormat="1" s="72"/>
    <row r="712" customFormat="1" s="72"/>
    <row r="713" customFormat="1" s="72"/>
    <row r="714" customFormat="1" s="72"/>
    <row r="715" customFormat="1" s="72"/>
    <row r="716" customFormat="1" s="72"/>
    <row r="717" customFormat="1" s="72"/>
    <row r="718" customFormat="1" s="72"/>
    <row r="719" customFormat="1" s="72"/>
    <row r="720" customFormat="1" s="72"/>
    <row r="721" customFormat="1" s="72"/>
    <row r="722" customFormat="1" s="72"/>
    <row r="723" customFormat="1" s="72"/>
    <row r="724" customFormat="1" s="72"/>
    <row r="725" customFormat="1" s="72"/>
    <row r="726" customFormat="1" s="72"/>
    <row r="727" customFormat="1" s="72"/>
    <row r="728" customFormat="1" s="72"/>
    <row r="729" customFormat="1" s="72"/>
    <row r="730" customFormat="1" s="72"/>
    <row r="731" customFormat="1" s="72"/>
    <row r="732" customFormat="1" s="72"/>
    <row r="733" customFormat="1" s="72"/>
    <row r="734" customFormat="1" s="72"/>
    <row r="735" customFormat="1" s="72"/>
    <row r="736" customFormat="1" s="72"/>
    <row r="737" customFormat="1" s="72"/>
    <row r="738" customFormat="1" s="72"/>
    <row r="739" customFormat="1" s="72"/>
    <row r="740" customFormat="1" s="72"/>
    <row r="741" customFormat="1" s="72"/>
    <row r="742" customFormat="1" s="72"/>
    <row r="743" customFormat="1" s="72"/>
    <row r="744" customFormat="1" s="72"/>
    <row r="745" customFormat="1" s="72"/>
    <row r="746" customFormat="1" s="72"/>
    <row r="747" customFormat="1" s="72"/>
    <row r="748" customFormat="1" s="72"/>
    <row r="749" customFormat="1" s="72"/>
    <row r="750" customFormat="1" s="72"/>
    <row r="751" customFormat="1" s="72"/>
    <row r="752" customFormat="1" s="72"/>
    <row r="753" customFormat="1" s="72"/>
    <row r="754" customFormat="1" s="72"/>
    <row r="755" customFormat="1" s="72"/>
    <row r="756" customFormat="1" s="72"/>
    <row r="757" customFormat="1" s="72"/>
    <row r="758" customFormat="1" s="72"/>
    <row r="759" customFormat="1" s="72"/>
    <row r="760" customFormat="1" s="72"/>
    <row r="761" customFormat="1" s="72"/>
    <row r="762" customFormat="1" s="72"/>
    <row r="763" customFormat="1" s="72"/>
    <row r="764" customFormat="1" s="72"/>
    <row r="765" customFormat="1" s="72"/>
    <row r="766" customFormat="1" s="72"/>
    <row r="767" customFormat="1" s="72"/>
    <row r="768" customFormat="1" s="72"/>
    <row r="769" customFormat="1" s="72"/>
    <row r="770" customFormat="1" s="72"/>
    <row r="771" customFormat="1" s="72"/>
    <row r="772" customFormat="1" s="72"/>
    <row r="773" customFormat="1" s="72"/>
    <row r="774" customFormat="1" s="72"/>
    <row r="775" customFormat="1" s="72"/>
    <row r="776" customFormat="1" s="72"/>
    <row r="777" customFormat="1" s="72"/>
    <row r="778" customFormat="1" s="72"/>
    <row r="779" customFormat="1" s="72"/>
    <row r="780" customFormat="1" s="72"/>
    <row r="781" customFormat="1" s="72"/>
    <row r="782" customFormat="1" s="72"/>
    <row r="783" customFormat="1" s="72"/>
    <row r="784" customFormat="1" s="72"/>
    <row r="785" customFormat="1" s="72"/>
    <row r="786" customFormat="1" s="72"/>
    <row r="787" customFormat="1" s="72"/>
    <row r="788" customFormat="1" s="72"/>
    <row r="789" customFormat="1" s="72"/>
    <row r="790" customFormat="1" s="72"/>
    <row r="791" customFormat="1" s="72"/>
    <row r="792" customFormat="1" s="72"/>
    <row r="793" customFormat="1" s="72"/>
    <row r="794" customFormat="1" s="72"/>
    <row r="795" customFormat="1" s="72"/>
    <row r="796" customFormat="1" s="72"/>
    <row r="797" customFormat="1" s="72"/>
    <row r="798" customFormat="1" s="72"/>
    <row r="799" customFormat="1" s="72"/>
    <row r="800" customFormat="1" s="72"/>
    <row r="801" customFormat="1" s="72"/>
    <row r="802" customFormat="1" s="72"/>
    <row r="803" customFormat="1" s="72"/>
    <row r="804" customFormat="1" s="72"/>
    <row r="805" customFormat="1" s="72"/>
    <row r="806" customFormat="1" s="72"/>
    <row r="807" customFormat="1" s="72"/>
    <row r="808" customFormat="1" s="72"/>
    <row r="809" customFormat="1" s="72"/>
    <row r="810" customFormat="1" s="72"/>
    <row r="811" customFormat="1" s="72"/>
    <row r="812" customFormat="1" s="72"/>
    <row r="813" customFormat="1" s="72"/>
    <row r="814" customFormat="1" s="72"/>
    <row r="815" customFormat="1" s="72"/>
    <row r="816" customFormat="1" s="72"/>
    <row r="817" customFormat="1" s="72"/>
    <row r="818" customFormat="1" s="72"/>
    <row r="819" customFormat="1" s="72"/>
    <row r="820" customFormat="1" s="72"/>
    <row r="821" customFormat="1" s="72"/>
    <row r="822" customFormat="1" s="72"/>
    <row r="823" customFormat="1" s="72"/>
    <row r="824" customFormat="1" s="72"/>
    <row r="825" customFormat="1" s="72"/>
    <row r="826" customFormat="1" s="72"/>
    <row r="827" customFormat="1" s="72"/>
    <row r="828" customFormat="1" s="72"/>
    <row r="829" customFormat="1" s="72"/>
    <row r="830" customFormat="1" s="72"/>
    <row r="831" customFormat="1" s="72"/>
    <row r="832" customFormat="1" s="72"/>
    <row r="833" customFormat="1" s="72"/>
    <row r="834" customFormat="1" s="72"/>
    <row r="835" customFormat="1" s="72"/>
    <row r="836" customFormat="1" s="72"/>
    <row r="837" customFormat="1" s="72"/>
    <row r="838" customFormat="1" s="72"/>
    <row r="839" customFormat="1" s="72"/>
    <row r="840" customFormat="1" s="72"/>
    <row r="841" customFormat="1" s="72"/>
    <row r="842" customFormat="1" s="72"/>
    <row r="843" customFormat="1" s="72"/>
    <row r="844" customFormat="1" s="72"/>
    <row r="845" customFormat="1" s="72"/>
    <row r="846" customFormat="1" s="72"/>
    <row r="847" customFormat="1" s="72"/>
    <row r="848" customFormat="1" s="72"/>
    <row r="849" customFormat="1" s="72"/>
    <row r="850" customFormat="1" s="72"/>
    <row r="851" customFormat="1" s="72"/>
    <row r="852" customFormat="1" s="72"/>
    <row r="853" customFormat="1" s="72"/>
    <row r="854" customFormat="1" s="72"/>
    <row r="855" customFormat="1" s="72"/>
    <row r="856" customFormat="1" s="72"/>
    <row r="857" customFormat="1" s="72"/>
    <row r="858" customFormat="1" s="72"/>
    <row r="859" customFormat="1" s="72"/>
    <row r="860" customFormat="1" s="72"/>
    <row r="861" customFormat="1" s="72"/>
    <row r="862" customFormat="1" s="72"/>
    <row r="863" customFormat="1" s="72"/>
    <row r="864" customFormat="1" s="72"/>
    <row r="865" customFormat="1" s="72"/>
    <row r="866" customFormat="1" s="72"/>
    <row r="867" customFormat="1" s="72"/>
    <row r="868" customFormat="1" s="72"/>
    <row r="869" customFormat="1" s="72"/>
    <row r="870" customFormat="1" s="72"/>
    <row r="871" customFormat="1" s="72"/>
    <row r="872" customFormat="1" s="72"/>
    <row r="873" customFormat="1" s="72"/>
    <row r="874" customFormat="1" s="72"/>
    <row r="875" customFormat="1" s="72"/>
    <row r="876" customFormat="1" s="72"/>
    <row r="877" customFormat="1" s="72"/>
    <row r="878" customFormat="1" s="72"/>
    <row r="879" customFormat="1" s="72"/>
    <row r="880" customFormat="1" s="72"/>
    <row r="881" customFormat="1" s="72"/>
    <row r="882" customFormat="1" s="72"/>
    <row r="883" customFormat="1" s="72"/>
    <row r="884" customFormat="1" s="72"/>
    <row r="885" customFormat="1" s="72"/>
    <row r="886" customFormat="1" s="72"/>
    <row r="887" customFormat="1" s="72"/>
    <row r="888" customFormat="1" s="72"/>
    <row r="889" customFormat="1" s="72"/>
    <row r="890" customFormat="1" s="72"/>
    <row r="891" customFormat="1" s="72"/>
    <row r="892" customFormat="1" s="72"/>
    <row r="893" customFormat="1" s="72"/>
    <row r="894" customFormat="1" s="72"/>
    <row r="895" customFormat="1" s="72"/>
    <row r="896" customFormat="1" s="72"/>
    <row r="897" customFormat="1" s="72"/>
    <row r="898" customFormat="1" s="72"/>
    <row r="899" customFormat="1" s="72"/>
    <row r="900" customFormat="1" s="72"/>
    <row r="901" customFormat="1" s="72"/>
    <row r="902" customFormat="1" s="72"/>
    <row r="903" customFormat="1" s="72"/>
    <row r="904" customFormat="1" s="72"/>
    <row r="905" customFormat="1" s="72"/>
    <row r="906" customFormat="1" s="72"/>
    <row r="907" customFormat="1" s="72"/>
    <row r="908" customFormat="1" s="72"/>
    <row r="909" customFormat="1" s="72"/>
    <row r="910" customFormat="1" s="72"/>
    <row r="911" customFormat="1" s="72"/>
    <row r="912" customFormat="1" s="72"/>
    <row r="913" customFormat="1" s="72"/>
    <row r="914" customFormat="1" s="72"/>
    <row r="915" customFormat="1" s="72"/>
    <row r="916" customFormat="1" s="72"/>
    <row r="917" customFormat="1" s="72"/>
    <row r="918" customFormat="1" s="72"/>
    <row r="919" customFormat="1" s="72"/>
    <row r="920" customFormat="1" s="72"/>
    <row r="921" customFormat="1" s="72"/>
    <row r="922" customFormat="1" s="72"/>
    <row r="923" customFormat="1" s="72"/>
    <row r="924" customFormat="1" s="72"/>
    <row r="925" customFormat="1" s="72"/>
    <row r="926" customFormat="1" s="72"/>
    <row r="927" customFormat="1" s="72"/>
    <row r="928" customFormat="1" s="72"/>
    <row r="929" customFormat="1" s="72"/>
    <row r="930" customFormat="1" s="72"/>
    <row r="931" customFormat="1" s="72"/>
    <row r="932" customFormat="1" s="72"/>
    <row r="933" customFormat="1" s="72"/>
    <row r="934" customFormat="1" s="72"/>
    <row r="935" customFormat="1" s="72"/>
    <row r="936" customFormat="1" s="72"/>
    <row r="937" customFormat="1" s="72"/>
    <row r="938" customFormat="1" s="72"/>
    <row r="939" customFormat="1" s="72"/>
    <row r="940" customFormat="1" s="72"/>
    <row r="941" customFormat="1" s="72"/>
    <row r="942" customFormat="1" s="72"/>
    <row r="943" customFormat="1" s="72"/>
    <row r="944" customFormat="1" s="72"/>
    <row r="945" customFormat="1" s="72"/>
    <row r="946" customFormat="1" s="72"/>
    <row r="947" customFormat="1" s="72"/>
    <row r="948" customFormat="1" s="72"/>
    <row r="949" customFormat="1" s="72"/>
    <row r="950" customFormat="1" s="72"/>
    <row r="951" customFormat="1" s="72"/>
    <row r="952" customFormat="1" s="72"/>
    <row r="953" customFormat="1" s="72"/>
    <row r="954" customFormat="1" s="72"/>
    <row r="955" customFormat="1" s="72"/>
    <row r="956" customFormat="1" s="72"/>
    <row r="957" customFormat="1" s="72"/>
    <row r="958" customFormat="1" s="72"/>
    <row r="959" customFormat="1" s="72"/>
    <row r="960" customFormat="1" s="72"/>
    <row r="961" customFormat="1" s="72"/>
    <row r="962" customFormat="1" s="72"/>
    <row r="963" customFormat="1" s="72"/>
    <row r="964" customFormat="1" s="72"/>
    <row r="965" customFormat="1" s="72"/>
    <row r="966" customFormat="1" s="72"/>
    <row r="967" customFormat="1" s="72"/>
    <row r="968" customFormat="1" s="72"/>
    <row r="969" customFormat="1" s="72"/>
    <row r="970" customFormat="1" s="72"/>
    <row r="971" customFormat="1" s="72"/>
    <row r="972" customFormat="1" s="72"/>
    <row r="973" customFormat="1" s="72"/>
    <row r="974" customFormat="1" s="72"/>
    <row r="975" customFormat="1" s="72"/>
    <row r="976" customFormat="1" s="72"/>
    <row r="977" customFormat="1" s="72"/>
    <row r="978" customFormat="1" s="72"/>
    <row r="979" customFormat="1" s="72"/>
    <row r="980" customFormat="1" s="72"/>
    <row r="981" customFormat="1" s="72"/>
    <row r="982" customFormat="1" s="72"/>
    <row r="983" customFormat="1" s="72"/>
    <row r="984" customFormat="1" s="72"/>
    <row r="985" customFormat="1" s="72"/>
    <row r="986" customFormat="1" s="72"/>
    <row r="987" customFormat="1" s="72"/>
    <row r="988" customFormat="1" s="72"/>
    <row r="989" customFormat="1" s="72"/>
    <row r="990" customFormat="1" s="72"/>
    <row r="991" customFormat="1" s="72"/>
    <row r="992" customFormat="1" s="72"/>
    <row r="993" customFormat="1" s="72"/>
    <row r="994" customFormat="1" s="72"/>
    <row r="995" customFormat="1" s="72"/>
    <row r="996" customFormat="1" s="72"/>
    <row r="997" customFormat="1" s="72"/>
    <row r="998" customFormat="1" s="72"/>
    <row r="999" customFormat="1" s="72"/>
    <row r="1000" customFormat="1" s="72"/>
    <row r="1001" customFormat="1" s="72"/>
    <row r="1002" customFormat="1" s="72"/>
    <row r="1003" customFormat="1" s="72"/>
    <row r="1004" customFormat="1" s="72"/>
    <row r="1005" customFormat="1" s="72"/>
    <row r="1006" customFormat="1" s="72"/>
    <row r="1007" customFormat="1" s="72"/>
    <row r="1008" customFormat="1" s="72"/>
    <row r="1009" customFormat="1" s="72"/>
    <row r="1010" customFormat="1" s="72"/>
    <row r="1011" customFormat="1" s="72"/>
    <row r="1012" customFormat="1" s="72"/>
    <row r="1013" customFormat="1" s="72"/>
    <row r="1014" customFormat="1" s="72"/>
    <row r="1015" customFormat="1" s="72"/>
    <row r="1016" customFormat="1" s="72"/>
    <row r="1017" customFormat="1" s="72"/>
    <row r="1018" customFormat="1" s="72"/>
    <row r="1019" customFormat="1" s="72"/>
    <row r="1020" customFormat="1" s="72"/>
    <row r="1021" customFormat="1" s="72"/>
    <row r="1022" customFormat="1" s="72"/>
    <row r="1023" customFormat="1" s="72"/>
    <row r="1024" customFormat="1" s="72"/>
    <row r="1025" customFormat="1" s="72"/>
    <row r="1026" customFormat="1" s="72"/>
    <row r="1027" customFormat="1" s="72"/>
    <row r="1028" customFormat="1" s="72"/>
    <row r="1029" customFormat="1" s="72"/>
    <row r="1030" customFormat="1" s="72"/>
    <row r="1031" customFormat="1" s="72"/>
    <row r="1032" customFormat="1" s="72"/>
    <row r="1033" customFormat="1" s="72"/>
    <row r="1034" customFormat="1" s="72"/>
    <row r="1035" customFormat="1" s="72"/>
    <row r="1036" customFormat="1" s="72"/>
    <row r="1037" customFormat="1" s="72"/>
    <row r="1038" customFormat="1" s="72"/>
    <row r="1039" customFormat="1" s="72"/>
    <row r="1040" customFormat="1" s="72"/>
    <row r="1041" customFormat="1" s="72"/>
    <row r="1042" customFormat="1" s="72"/>
    <row r="1043" customFormat="1" s="72"/>
    <row r="1044" customFormat="1" s="72"/>
    <row r="1045" customFormat="1" s="72"/>
    <row r="1046" customFormat="1" s="72"/>
    <row r="1047" customFormat="1" s="72"/>
    <row r="1048" customFormat="1" s="72"/>
    <row r="1049" customFormat="1" s="72"/>
    <row r="1050" customFormat="1" s="72"/>
    <row r="1051" customFormat="1" s="72"/>
    <row r="1052" customFormat="1" s="72"/>
    <row r="1053" customFormat="1" s="72"/>
    <row r="1054" customFormat="1" s="72"/>
    <row r="1055" customFormat="1" s="72"/>
    <row r="1056" customFormat="1" s="72"/>
    <row r="1057" customFormat="1" s="72"/>
    <row r="1058" customFormat="1" s="72"/>
    <row r="1059" customFormat="1" s="72"/>
    <row r="1060" customFormat="1" s="72"/>
    <row r="1061" customFormat="1" s="72"/>
    <row r="1062" customFormat="1" s="72"/>
    <row r="1063" customFormat="1" s="72"/>
    <row r="1064" customFormat="1" s="72"/>
    <row r="1065" customFormat="1" s="72"/>
    <row r="1066" customFormat="1" s="72"/>
    <row r="1067" customFormat="1" s="72"/>
    <row r="1068" customFormat="1" s="72"/>
    <row r="1069" customFormat="1" s="72"/>
    <row r="1070" customFormat="1" s="72"/>
    <row r="1071" customFormat="1" s="72"/>
    <row r="1072" customFormat="1" s="72"/>
    <row r="1073" customFormat="1" s="72"/>
    <row r="1074" customFormat="1" s="72"/>
    <row r="1075" customFormat="1" s="72"/>
    <row r="1076" customFormat="1" s="72"/>
    <row r="1077" customFormat="1" s="72"/>
    <row r="1078" customFormat="1" s="72"/>
    <row r="1079" customFormat="1" s="72"/>
    <row r="1080" customFormat="1" s="72"/>
    <row r="1081" customFormat="1" s="72"/>
    <row r="1082" customFormat="1" s="72"/>
    <row r="1083" customFormat="1" s="72"/>
    <row r="1084" customFormat="1" s="72"/>
    <row r="1085" customFormat="1" s="72"/>
    <row r="1086" customFormat="1" s="72"/>
    <row r="1087" customFormat="1" s="72"/>
    <row r="1088" customFormat="1" s="72"/>
    <row r="1089" customFormat="1" s="72"/>
    <row r="1090" customFormat="1" s="72"/>
    <row r="1091" customFormat="1" s="72"/>
    <row r="1092" customFormat="1" s="72"/>
    <row r="1093" customFormat="1" s="72"/>
    <row r="1094" customFormat="1" s="72"/>
    <row r="1095" customFormat="1" s="72"/>
    <row r="1096" customFormat="1" s="72"/>
    <row r="1097" customFormat="1" s="72"/>
    <row r="1098" customFormat="1" s="72"/>
    <row r="1099" customFormat="1" s="72"/>
    <row r="1100" customFormat="1" s="72"/>
    <row r="1101" customFormat="1" s="72"/>
    <row r="1102" customFormat="1" s="72"/>
    <row r="1103" customFormat="1" s="72"/>
    <row r="1104" customFormat="1" s="72"/>
    <row r="1105" customFormat="1" s="72"/>
    <row r="1106" customFormat="1" s="72"/>
    <row r="1107" customFormat="1" s="72"/>
    <row r="1108" customFormat="1" s="72"/>
    <row r="1109" customFormat="1" s="72"/>
    <row r="1110" customFormat="1" s="72"/>
    <row r="1111" customFormat="1" s="72"/>
    <row r="1112" customFormat="1" s="72"/>
    <row r="1113" customFormat="1" s="72"/>
    <row r="1114" customFormat="1" s="72"/>
    <row r="1115" customFormat="1" s="72"/>
    <row r="1116" customFormat="1" s="72"/>
    <row r="1117" customFormat="1" s="72"/>
    <row r="1118" customFormat="1" s="72"/>
    <row r="1119" customFormat="1" s="72"/>
    <row r="1120" customFormat="1" s="72"/>
    <row r="1121" customFormat="1" s="72"/>
    <row r="1122" customFormat="1" s="72"/>
    <row r="1123" customFormat="1" s="72"/>
    <row r="1124" customFormat="1" s="72"/>
    <row r="1125" customFormat="1" s="72"/>
    <row r="1126" customFormat="1" s="72"/>
    <row r="1127" customFormat="1" s="72"/>
    <row r="1128" customFormat="1" s="72"/>
    <row r="1129" customFormat="1" s="72"/>
    <row r="1130" customFormat="1" s="72"/>
    <row r="1131" customFormat="1" s="72"/>
    <row r="1132" customFormat="1" s="72"/>
    <row r="1133" customFormat="1" s="72"/>
    <row r="1134" customFormat="1" s="72"/>
    <row r="1135" customFormat="1" s="72"/>
    <row r="1136" customFormat="1" s="72"/>
    <row r="1137" customFormat="1" s="72"/>
    <row r="1138" customFormat="1" s="72"/>
    <row r="1139" customFormat="1" s="72"/>
    <row r="1140" customFormat="1" s="72"/>
    <row r="1141" customFormat="1" s="72"/>
    <row r="1142" customFormat="1" s="72"/>
    <row r="1143" customFormat="1" s="72"/>
    <row r="1144" customFormat="1" s="72"/>
    <row r="1145" customFormat="1" s="72"/>
    <row r="1146" customFormat="1" s="72"/>
    <row r="1147" customFormat="1" s="72"/>
    <row r="1148" customFormat="1" s="72"/>
    <row r="1149" customFormat="1" s="72"/>
    <row r="1150" customFormat="1" s="72"/>
    <row r="1151" customFormat="1" s="72"/>
    <row r="1152" customFormat="1" s="72"/>
    <row r="1153" customFormat="1" s="72"/>
    <row r="1154" customFormat="1" s="72"/>
    <row r="1155" customFormat="1" s="72"/>
    <row r="1156" customFormat="1" s="72"/>
    <row r="1157" customFormat="1" s="72"/>
    <row r="1158" customFormat="1" s="72"/>
    <row r="1159" customFormat="1" s="72"/>
    <row r="1160" customFormat="1" s="72"/>
    <row r="1161" customFormat="1" s="72"/>
    <row r="1162" customFormat="1" s="72"/>
    <row r="1163" customFormat="1" s="72"/>
    <row r="1164" customFormat="1" s="72"/>
    <row r="1165" customFormat="1" s="72"/>
    <row r="1166" customFormat="1" s="72"/>
    <row r="1167" customFormat="1" s="72"/>
    <row r="1168" customFormat="1" s="72"/>
    <row r="1169" customFormat="1" s="72"/>
    <row r="1170" customFormat="1" s="72"/>
    <row r="1171" customFormat="1" s="72"/>
    <row r="1172" customFormat="1" s="72"/>
    <row r="1173" customFormat="1" s="72"/>
    <row r="1174" customFormat="1" s="72"/>
    <row r="1175" customFormat="1" s="72"/>
    <row r="1176" customFormat="1" s="72"/>
    <row r="1177" customFormat="1" s="72"/>
    <row r="1178" customFormat="1" s="72"/>
    <row r="1179" customFormat="1" s="72"/>
    <row r="1180" customFormat="1" s="72"/>
    <row r="1181" customFormat="1" s="72"/>
    <row r="1182" customFormat="1" s="72"/>
    <row r="1183" customFormat="1" s="72"/>
    <row r="1184" customFormat="1" s="72"/>
    <row r="1185" customFormat="1" s="72"/>
    <row r="1186" customFormat="1" s="72"/>
    <row r="1187" customFormat="1" s="72"/>
    <row r="1188" customFormat="1" s="72"/>
    <row r="1189" customFormat="1" s="72"/>
    <row r="1190" customFormat="1" s="72"/>
    <row r="1191" customFormat="1" s="72"/>
    <row r="1192" customFormat="1" s="72"/>
    <row r="1193" customFormat="1" s="72"/>
    <row r="1194" customFormat="1" s="72"/>
    <row r="1195" customFormat="1" s="72"/>
    <row r="1196" customFormat="1" s="72"/>
    <row r="1197" customFormat="1" s="72"/>
    <row r="1198" customFormat="1" s="72"/>
    <row r="1199" customFormat="1" s="72"/>
    <row r="1200" customFormat="1" s="72"/>
    <row r="1201" customFormat="1" s="72"/>
    <row r="1202" customFormat="1" s="72"/>
    <row r="1203" customFormat="1" s="72"/>
    <row r="1204" customFormat="1" s="72"/>
    <row r="1205" customFormat="1" s="72"/>
    <row r="1206" customFormat="1" s="72"/>
    <row r="1207" customFormat="1" s="72"/>
    <row r="1208" customFormat="1" s="72"/>
    <row r="1209" customFormat="1" s="72"/>
    <row r="1210" customFormat="1" s="72"/>
    <row r="1211" customFormat="1" s="72"/>
    <row r="1212" customFormat="1" s="72"/>
    <row r="1213" customFormat="1" s="72"/>
    <row r="1214" customFormat="1" s="72"/>
    <row r="1215" customFormat="1" s="72"/>
    <row r="1216" customFormat="1" s="72"/>
    <row r="1217" customFormat="1" s="72"/>
    <row r="1218" customFormat="1" s="72"/>
    <row r="1219" customFormat="1" s="72"/>
    <row r="1220" customFormat="1" s="72"/>
    <row r="1221" customFormat="1" s="72"/>
    <row r="1222" customFormat="1" s="72"/>
    <row r="1223" customFormat="1" s="72"/>
    <row r="1224" customFormat="1" s="72"/>
    <row r="1225" customFormat="1" s="72"/>
    <row r="1226" customFormat="1" s="72"/>
    <row r="1227" customFormat="1" s="72"/>
    <row r="1228" customFormat="1" s="72"/>
    <row r="1229" customFormat="1" s="72"/>
    <row r="1230" customFormat="1" s="72"/>
    <row r="1231" customFormat="1" s="72"/>
    <row r="1232" customFormat="1" s="72"/>
    <row r="1233" customFormat="1" s="72"/>
    <row r="1234" customFormat="1" s="72"/>
    <row r="1235" customFormat="1" s="72"/>
    <row r="1236" customFormat="1" s="72"/>
    <row r="1237" customFormat="1" s="72"/>
    <row r="1238" customFormat="1" s="72"/>
    <row r="1239" customFormat="1" s="72"/>
    <row r="1240" customFormat="1" s="72"/>
    <row r="1241" customFormat="1" s="72"/>
    <row r="1242" customFormat="1" s="72"/>
    <row r="1243" customFormat="1" s="72"/>
    <row r="1244" customFormat="1" s="72"/>
    <row r="1245" customFormat="1" s="72"/>
    <row r="1246" customFormat="1" s="72"/>
    <row r="1247" customFormat="1" s="72"/>
    <row r="1248" customFormat="1" s="72"/>
    <row r="1249" customFormat="1" s="72"/>
    <row r="1250" customFormat="1" s="72"/>
    <row r="1251" customFormat="1" s="72"/>
    <row r="1252" customFormat="1" s="72"/>
    <row r="1253" customFormat="1" s="72"/>
    <row r="1254" customFormat="1" s="72"/>
    <row r="1255" customFormat="1" s="72"/>
    <row r="1256" customFormat="1" s="72"/>
    <row r="1257" customFormat="1" s="72"/>
    <row r="1258" customFormat="1" s="72"/>
    <row r="1259" customFormat="1" s="72"/>
    <row r="1260" customFormat="1" s="72"/>
    <row r="1261" customFormat="1" s="72"/>
    <row r="1262" customFormat="1" s="72"/>
    <row r="1263" customFormat="1" s="72"/>
    <row r="1264" customFormat="1" s="72"/>
    <row r="1265" customFormat="1" s="72"/>
    <row r="1266" customFormat="1" s="72"/>
    <row r="1267" customFormat="1" s="72"/>
    <row r="1268" customFormat="1" s="72"/>
    <row r="1269" customFormat="1" s="72"/>
    <row r="1270" customFormat="1" s="72"/>
    <row r="1271" customFormat="1" s="72"/>
    <row r="1272" customFormat="1" s="72"/>
    <row r="1273" customFormat="1" s="72"/>
    <row r="1274" customFormat="1" s="72"/>
    <row r="1275" customFormat="1" s="72"/>
    <row r="1276" customFormat="1" s="72"/>
    <row r="1277" customFormat="1" s="72"/>
    <row r="1278" customFormat="1" s="72"/>
    <row r="1279" customFormat="1" s="72"/>
    <row r="1280" customFormat="1" s="72"/>
    <row r="1281" customFormat="1" s="72"/>
    <row r="1282" customFormat="1" s="72"/>
    <row r="1283" customFormat="1" s="72"/>
    <row r="1284" customFormat="1" s="72"/>
    <row r="1285" customFormat="1" s="72"/>
    <row r="1286" customFormat="1" s="72"/>
    <row r="1287" customFormat="1" s="72"/>
    <row r="1288" customFormat="1" s="72"/>
    <row r="1289" customFormat="1" s="72"/>
    <row r="1290" customFormat="1" s="72"/>
    <row r="1291" customFormat="1" s="72"/>
    <row r="1292" customFormat="1" s="72"/>
    <row r="1293" customFormat="1" s="72"/>
    <row r="1294" customFormat="1" s="72"/>
    <row r="1295" customFormat="1" s="72"/>
    <row r="1296" customFormat="1" s="72"/>
    <row r="1297" customFormat="1" s="72"/>
    <row r="1298" customFormat="1" s="72"/>
    <row r="1299" customFormat="1" s="72"/>
    <row r="1300" customFormat="1" s="72"/>
    <row r="1301" customFormat="1" s="72"/>
    <row r="1302" customFormat="1" s="72"/>
    <row r="1303" customFormat="1" s="72"/>
    <row r="1304" customFormat="1" s="72"/>
    <row r="1305" customFormat="1" s="72"/>
    <row r="1306" customFormat="1" s="72"/>
    <row r="1307" customFormat="1" s="72"/>
    <row r="1308" customFormat="1" s="72"/>
    <row r="1309" customFormat="1" s="72"/>
    <row r="1310" customFormat="1" s="72"/>
    <row r="1311" customFormat="1" s="72"/>
    <row r="1312" customFormat="1" s="72"/>
    <row r="1313" customFormat="1" s="72"/>
    <row r="1314" customFormat="1" s="72"/>
    <row r="1315" customFormat="1" s="72"/>
    <row r="1316" customFormat="1" s="72"/>
    <row r="1317" customFormat="1" s="72"/>
    <row r="1318" customFormat="1" s="72"/>
    <row r="1319" customFormat="1" s="72"/>
    <row r="1320" customFormat="1" s="72"/>
    <row r="1321" customFormat="1" s="72"/>
    <row r="1322" customFormat="1" s="72"/>
    <row r="1323" customFormat="1" s="72"/>
    <row r="1324" customFormat="1" s="72"/>
    <row r="1325" customFormat="1" s="72"/>
    <row r="1326" customFormat="1" s="72"/>
    <row r="1327" customFormat="1" s="72"/>
    <row r="1328" customFormat="1" s="72"/>
    <row r="1329" customFormat="1" s="72"/>
    <row r="1330" customFormat="1" s="72"/>
    <row r="1331" customFormat="1" s="72"/>
    <row r="1332" customFormat="1" s="72"/>
    <row r="1333" customFormat="1" s="72"/>
    <row r="1334" customFormat="1" s="72"/>
    <row r="1335" customFormat="1" s="72"/>
    <row r="1336" customFormat="1" s="72"/>
    <row r="1337" customFormat="1" s="72"/>
    <row r="1338" customFormat="1" s="72"/>
    <row r="1339" customFormat="1" s="72"/>
    <row r="1340" customFormat="1" s="72"/>
    <row r="1341" customFormat="1" s="72"/>
    <row r="1342" customFormat="1" s="72"/>
    <row r="1343" customFormat="1" s="72"/>
    <row r="1344" customFormat="1" s="72"/>
    <row r="1345" customFormat="1" s="72"/>
    <row r="1346" customFormat="1" s="72"/>
    <row r="1347" customFormat="1" s="72"/>
    <row r="1348" customFormat="1" s="72"/>
    <row r="1349" customFormat="1" s="72"/>
    <row r="1350" customFormat="1" s="72"/>
    <row r="1351" customFormat="1" s="72"/>
    <row r="1352" customFormat="1" s="72"/>
    <row r="1353" customFormat="1" s="72"/>
    <row r="1354" customFormat="1" s="72"/>
    <row r="1355" customFormat="1" s="72"/>
    <row r="1356" customFormat="1" s="72"/>
    <row r="1357" customFormat="1" s="72"/>
    <row r="1358" customFormat="1" s="72"/>
    <row r="1359" customFormat="1" s="72"/>
    <row r="1360" customFormat="1" s="72"/>
    <row r="1361" customFormat="1" s="72"/>
    <row r="1362" customFormat="1" s="72"/>
    <row r="1363" customFormat="1" s="72"/>
    <row r="1364" customFormat="1" s="72"/>
    <row r="1365" customFormat="1" s="72"/>
    <row r="1366" customFormat="1" s="72"/>
    <row r="1367" customFormat="1" s="72"/>
    <row r="1368" customFormat="1" s="72"/>
    <row r="1369" customFormat="1" s="72"/>
    <row r="1370" customFormat="1" s="72"/>
    <row r="1371" customFormat="1" s="72"/>
    <row r="1372" customFormat="1" s="72"/>
    <row r="1373" customFormat="1" s="72"/>
    <row r="1374" customFormat="1" s="72"/>
    <row r="1375" customFormat="1" s="72"/>
    <row r="1376" customFormat="1" s="72"/>
    <row r="1377" customFormat="1" s="72"/>
    <row r="1378" customFormat="1" s="72"/>
    <row r="1379" customFormat="1" s="72"/>
    <row r="1380" customFormat="1" s="72"/>
    <row r="1381" customFormat="1" s="72"/>
    <row r="1382" customFormat="1" s="72"/>
    <row r="1383" customFormat="1" s="72"/>
    <row r="1384" customFormat="1" s="72"/>
    <row r="1385" customFormat="1" s="72"/>
    <row r="1386" customFormat="1" s="72"/>
    <row r="1387" customFormat="1" s="72"/>
    <row r="1388" customFormat="1" s="72"/>
    <row r="1389" customFormat="1" s="72"/>
    <row r="1390" customFormat="1" s="72"/>
    <row r="1391" customFormat="1" s="72"/>
    <row r="1392" customFormat="1" s="72"/>
    <row r="1393" customFormat="1" s="72"/>
    <row r="1394" customFormat="1" s="72"/>
    <row r="1395" customFormat="1" s="72"/>
    <row r="1396" customFormat="1" s="72"/>
    <row r="1397" customFormat="1" s="72"/>
    <row r="1398" customFormat="1" s="72"/>
    <row r="1399" customFormat="1" s="72"/>
    <row r="1400" customFormat="1" s="72"/>
    <row r="1401" customFormat="1" s="72"/>
    <row r="1402" customFormat="1" s="72"/>
    <row r="1403" customFormat="1" s="72"/>
    <row r="1404" customFormat="1" s="72"/>
    <row r="1405" customFormat="1" s="72"/>
    <row r="1406" customFormat="1" s="72"/>
    <row r="1407" customFormat="1" s="72"/>
    <row r="1408" customFormat="1" s="72"/>
    <row r="1409" customFormat="1" s="72"/>
    <row r="1410" customFormat="1" s="72"/>
    <row r="1411" customFormat="1" s="72"/>
    <row r="1412" customFormat="1" s="72"/>
    <row r="1413" customFormat="1" s="72"/>
    <row r="1414" customFormat="1" s="72"/>
    <row r="1415" customFormat="1" s="72"/>
    <row r="1416" customFormat="1" s="72"/>
    <row r="1417" customFormat="1" s="72"/>
    <row r="1418" customFormat="1" s="72"/>
    <row r="1419" customFormat="1" s="72"/>
    <row r="1420" customFormat="1" s="72"/>
    <row r="1421" customFormat="1" s="72"/>
    <row r="1422" customFormat="1" s="72"/>
    <row r="1423" customFormat="1" s="72"/>
    <row r="1424" customFormat="1" s="72"/>
    <row r="1425" customFormat="1" s="72"/>
    <row r="1426" customFormat="1" s="72"/>
    <row r="1427" customFormat="1" s="72"/>
    <row r="1428" customFormat="1" s="72"/>
    <row r="1429" customFormat="1" s="72"/>
    <row r="1430" customFormat="1" s="72"/>
    <row r="1431" customFormat="1" s="72"/>
    <row r="1432" customFormat="1" s="72"/>
    <row r="1433" customFormat="1" s="72"/>
    <row r="1434" customFormat="1" s="72"/>
    <row r="1435" customFormat="1" s="72"/>
    <row r="1436" customFormat="1" s="72"/>
    <row r="1437" customFormat="1" s="72"/>
    <row r="1438" customFormat="1" s="72"/>
    <row r="1439" customFormat="1" s="72"/>
    <row r="1440" customFormat="1" s="72"/>
    <row r="1441" customFormat="1" s="72"/>
    <row r="1442" customFormat="1" s="72"/>
    <row r="1443" customFormat="1" s="72"/>
    <row r="1444" customFormat="1" s="72"/>
    <row r="1445" customFormat="1" s="72"/>
    <row r="1446" customFormat="1" s="72"/>
    <row r="1447" customFormat="1" s="72"/>
    <row r="1448" customFormat="1" s="72"/>
    <row r="1449" customFormat="1" s="72"/>
    <row r="1450" customFormat="1" s="72"/>
    <row r="1451" customFormat="1" s="72"/>
    <row r="1452" customFormat="1" s="72"/>
    <row r="1453" customFormat="1" s="72"/>
    <row r="1454" customFormat="1" s="72"/>
    <row r="1455" customFormat="1" s="72"/>
    <row r="1456" customFormat="1" s="72"/>
    <row r="1457" customFormat="1" s="72"/>
    <row r="1458" customFormat="1" s="72"/>
    <row r="1459" customFormat="1" s="72"/>
    <row r="1460" customFormat="1" s="72"/>
    <row r="1461" customFormat="1" s="72"/>
    <row r="1462" customFormat="1" s="72"/>
    <row r="1463" customFormat="1" s="72"/>
    <row r="1464" customFormat="1" s="72"/>
    <row r="1465" customFormat="1" s="72"/>
    <row r="1466" customFormat="1" s="72"/>
    <row r="1467" customFormat="1" s="72"/>
    <row r="1468" customFormat="1" s="72"/>
    <row r="1469" customFormat="1" s="72"/>
    <row r="1470" customFormat="1" s="72"/>
    <row r="1471" customFormat="1" s="72"/>
    <row r="1472" customFormat="1" s="72"/>
    <row r="1473" customFormat="1" s="72"/>
    <row r="1474" customFormat="1" s="72"/>
    <row r="1475" customFormat="1" s="72"/>
    <row r="1476" customFormat="1" s="72"/>
    <row r="1477" customFormat="1" s="72"/>
    <row r="1478" customFormat="1" s="72"/>
    <row r="1479" customFormat="1" s="72"/>
    <row r="1480" customFormat="1" s="72"/>
    <row r="1481" customFormat="1" s="72"/>
    <row r="1482" customFormat="1" s="72"/>
    <row r="1483" customFormat="1" s="72"/>
    <row r="1484" customFormat="1" s="72"/>
    <row r="1485" customFormat="1" s="72"/>
    <row r="1486" customFormat="1" s="72"/>
    <row r="1487" customFormat="1" s="72"/>
    <row r="1488" customFormat="1" s="72"/>
    <row r="1489" customFormat="1" s="72"/>
    <row r="1490" customFormat="1" s="72"/>
    <row r="1491" customFormat="1" s="72"/>
    <row r="1492" customFormat="1" s="72"/>
    <row r="1493" customFormat="1" s="72"/>
    <row r="1494" customFormat="1" s="72"/>
    <row r="1495" customFormat="1" s="72"/>
    <row r="1496" customFormat="1" s="72"/>
    <row r="1497" customFormat="1" s="72"/>
    <row r="1498" customFormat="1" s="72"/>
    <row r="1499" customFormat="1" s="72"/>
    <row r="1500" customFormat="1" s="72"/>
    <row r="1501" customFormat="1" s="72"/>
    <row r="1502" customFormat="1" s="72"/>
    <row r="1503" customFormat="1" s="72"/>
    <row r="1504" customFormat="1" s="72"/>
    <row r="1505" customFormat="1" s="72"/>
    <row r="1506" customFormat="1" s="72"/>
    <row r="1507" customFormat="1" s="72"/>
    <row r="1508" customFormat="1" s="72"/>
    <row r="1509" customFormat="1" s="72"/>
    <row r="1510" customFormat="1" s="72"/>
    <row r="1511" customFormat="1" s="72"/>
    <row r="1512" customFormat="1" s="72"/>
    <row r="1513" customFormat="1" s="72"/>
    <row r="1514" customFormat="1" s="72"/>
    <row r="1515" customFormat="1" s="72"/>
    <row r="1516" customFormat="1" s="72"/>
    <row r="1517" customFormat="1" s="72"/>
    <row r="1518" customFormat="1" s="72"/>
    <row r="1519" customFormat="1" s="72"/>
    <row r="1520" customFormat="1" s="72"/>
  </sheetData>
  <autoFilter ref="A3:AQ4"/>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codeName="Sheet4">
    <tabColor theme="5"/>
    <outlinePr summaryBelow="1" summaryRight="1"/>
    <pageSetUpPr/>
  </sheetPr>
  <dimension ref="A1:S2"/>
  <sheetViews>
    <sheetView zoomScale="131" zoomScaleNormal="131" zoomScaleSheetLayoutView="60" workbookViewId="0">
      <pane ySplit="1" topLeftCell="A2" activePane="bottomLeft" state="frozen"/>
      <selection pane="bottomLeft" activeCell="A1" sqref="A1"/>
      <selection pane="bottomLeft" activeCell="A50" sqref="$A50:$XFD1571"/>
    </sheetView>
  </sheetViews>
  <sheetFormatPr baseColWidth="8" defaultColWidth="9" defaultRowHeight="16.8"/>
  <cols>
    <col width="40.6346153846154" customWidth="1" style="123" min="1" max="1"/>
    <col width="9" customWidth="1" style="123" min="2" max="2"/>
    <col width="9" customWidth="1" style="66" min="3" max="3"/>
    <col width="9.23076923076923" customWidth="1" style="48" min="4" max="4"/>
    <col width="9.22115384615385" customWidth="1" style="49" min="5" max="5"/>
    <col width="10.3076923076923" customWidth="1" style="48" min="6" max="6"/>
    <col width="11.4615384615385" customWidth="1" style="49" min="7" max="7"/>
    <col width="9" customWidth="1" style="48" min="8" max="8"/>
    <col width="9" customWidth="1" style="274" min="9" max="9"/>
    <col width="9" customWidth="1" style="275" min="10" max="10"/>
    <col width="11.5288461538462" customWidth="1" style="276" min="11" max="11"/>
    <col width="9" customWidth="1" style="275" min="12" max="12"/>
    <col width="9" customWidth="1" style="67" min="13" max="13"/>
    <col width="9" customWidth="1" style="123" min="14" max="16384"/>
  </cols>
  <sheetData>
    <row r="1" ht="100" customFormat="1" customHeight="1" s="4">
      <c r="A1" s="7" t="inlineStr">
        <is>
          <t>词根</t>
        </is>
      </c>
      <c r="B1" s="7" t="inlineStr">
        <is>
          <t>出现次数</t>
        </is>
      </c>
      <c r="C1" s="9" t="inlineStr">
        <is>
          <t>占比</t>
        </is>
      </c>
      <c r="D1" s="54" t="inlineStr">
        <is>
          <t>求和项:展示量</t>
        </is>
      </c>
      <c r="E1" s="56" t="inlineStr">
        <is>
          <t>求和项:点击量</t>
        </is>
      </c>
      <c r="F1" s="54" t="inlineStr">
        <is>
          <t>求和项:花费</t>
        </is>
      </c>
      <c r="G1" s="56" t="inlineStr">
        <is>
          <t>求和项:7天总销售额</t>
        </is>
      </c>
      <c r="H1" s="54" t="inlineStr">
        <is>
          <t>求和项:7天总订单数(#)</t>
        </is>
      </c>
      <c r="I1" s="277" t="inlineStr">
        <is>
          <t>CPC</t>
        </is>
      </c>
      <c r="J1" s="278" t="inlineStr">
        <is>
          <t>CTR</t>
        </is>
      </c>
      <c r="K1" s="279" t="inlineStr">
        <is>
          <t>CVR</t>
        </is>
      </c>
      <c r="L1" s="278" t="inlineStr">
        <is>
          <t>ACoS</t>
        </is>
      </c>
      <c r="M1" s="64" t="inlineStr">
        <is>
          <t>词根属性</t>
        </is>
      </c>
    </row>
    <row r="2">
      <c r="A2" s="127" t="n"/>
      <c r="B2" s="127" t="n"/>
      <c r="C2" s="128" t="n"/>
      <c r="D2" s="55" t="n"/>
      <c r="E2" s="57" t="n"/>
      <c r="F2" s="55" t="n"/>
      <c r="G2" s="57" t="n"/>
      <c r="H2" s="24" t="n"/>
      <c r="I2" s="280" t="n"/>
      <c r="J2" s="281" t="n"/>
      <c r="K2" s="254" t="n"/>
      <c r="L2" s="281" t="n"/>
      <c r="M2" s="65" t="n"/>
    </row>
  </sheetData>
  <autoFilter ref="A1:M2"/>
  <pageMargins left="0.75" right="0.75" top="1" bottom="1" header="0.5" footer="0.5"/>
</worksheet>
</file>

<file path=xl/worksheets/sheet7.xml><?xml version="1.0" encoding="utf-8"?>
<worksheet xmlns="http://schemas.openxmlformats.org/spreadsheetml/2006/main">
  <sheetPr codeName="Sheet6">
    <tabColor theme="5"/>
    <outlinePr summaryBelow="1" summaryRight="1"/>
    <pageSetUpPr/>
  </sheetPr>
  <dimension ref="A1:S2"/>
  <sheetViews>
    <sheetView zoomScale="130" zoomScaleNormal="130" zoomScaleSheetLayoutView="60" workbookViewId="0">
      <pane ySplit="1" topLeftCell="A2" activePane="bottomLeft" state="frozen"/>
      <selection pane="bottomLeft" activeCell="A1" sqref="A1"/>
      <selection pane="bottomLeft" activeCell="A3" sqref="$A3:$XFD1867"/>
    </sheetView>
  </sheetViews>
  <sheetFormatPr baseColWidth="8" defaultColWidth="9" defaultRowHeight="16.8" outlineLevelRow="1"/>
  <cols>
    <col width="40.6346153846154" customWidth="1" style="123" min="1" max="1"/>
    <col width="9" customWidth="1" style="123" min="2" max="3"/>
    <col width="9.23076923076923" customWidth="1" style="123" min="4" max="4"/>
    <col width="9" customWidth="1" style="123" min="5" max="5"/>
    <col width="10.3076923076923" customWidth="1" style="123" min="6" max="6"/>
    <col width="11.4615384615385" customWidth="1" style="123" min="7" max="7"/>
    <col width="9" customWidth="1" style="123" min="8" max="8"/>
    <col width="9.61538461538461" customWidth="1" style="282" min="9" max="9"/>
    <col width="9.61538461538461" customWidth="1" style="283" min="10" max="11"/>
    <col width="9" customWidth="1" style="283" min="12" max="12"/>
    <col width="9" customWidth="1" style="123" min="13" max="16384"/>
  </cols>
  <sheetData>
    <row r="1" ht="100" customFormat="1" customHeight="1" s="4">
      <c r="A1" s="7" t="inlineStr">
        <is>
          <t>词根</t>
        </is>
      </c>
      <c r="B1" s="7" t="inlineStr">
        <is>
          <t>出现次数</t>
        </is>
      </c>
      <c r="C1" s="7" t="inlineStr">
        <is>
          <t>占比</t>
        </is>
      </c>
      <c r="D1" s="44" t="inlineStr">
        <is>
          <t>求和项:展示量</t>
        </is>
      </c>
      <c r="E1" s="44" t="inlineStr">
        <is>
          <t>求和项:点击量</t>
        </is>
      </c>
      <c r="F1" s="44" t="inlineStr">
        <is>
          <t>求和项:花费</t>
        </is>
      </c>
      <c r="G1" s="44" t="inlineStr">
        <is>
          <t>求和项:7天总销售额</t>
        </is>
      </c>
      <c r="H1" s="44" t="inlineStr">
        <is>
          <t>求和项:7天总订单数(#)</t>
        </is>
      </c>
      <c r="I1" s="284" t="inlineStr">
        <is>
          <t>CPC</t>
        </is>
      </c>
      <c r="J1" s="285" t="inlineStr">
        <is>
          <t>CTR</t>
        </is>
      </c>
      <c r="K1" s="285" t="inlineStr">
        <is>
          <t>CVR</t>
        </is>
      </c>
      <c r="L1" s="285" t="inlineStr">
        <is>
          <t>ACoS</t>
        </is>
      </c>
      <c r="M1" s="47" t="inlineStr">
        <is>
          <t>词根属性</t>
        </is>
      </c>
    </row>
    <row r="2">
      <c r="A2" s="123" t="n"/>
      <c r="B2" s="123" t="n"/>
      <c r="C2" s="123" t="n"/>
      <c r="D2" s="123" t="n"/>
      <c r="E2" s="123" t="n"/>
      <c r="F2" s="123" t="n"/>
      <c r="G2" s="123" t="n"/>
      <c r="H2" s="123" t="n"/>
      <c r="I2" s="282" t="n"/>
      <c r="J2" s="283" t="n"/>
      <c r="K2" s="283" t="n"/>
      <c r="L2" s="283" t="n"/>
    </row>
  </sheetData>
  <autoFilter ref="A1:M2">
    <sortState ref="A1:M1867">
      <sortCondition ref="K1"/>
    </sortState>
  </autoFilter>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topLeftCell="A18" zoomScale="72" zoomScaleNormal="72" workbookViewId="0">
      <pane ySplit="1" topLeftCell="A2" activePane="bottomLeft" state="frozen"/>
      <selection pane="bottomLeft" activeCell="Q172" sqref="Q172"/>
    </sheetView>
  </sheetViews>
  <sheetFormatPr baseColWidth="8" defaultColWidth="9.23076923076923" defaultRowHeight="16.8"/>
  <cols>
    <col width="17.7692307692308" customWidth="1" style="1" min="1" max="1"/>
    <col width="26.6153846153846" customWidth="1" style="1" min="2" max="2"/>
    <col width="9.23076923076923" customWidth="1" style="1" min="3" max="16384"/>
  </cols>
  <sheetData>
    <row r="1" ht="75" customHeight="1" s="235">
      <c r="A1" s="39" t="inlineStr">
        <is>
          <t>ASIN</t>
        </is>
      </c>
      <c r="B1" s="39" t="inlineStr">
        <is>
          <t>SKU</t>
        </is>
      </c>
    </row>
    <row r="2">
      <c r="A2" s="41" t="n"/>
      <c r="B2" s="41" t="n"/>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6"/>
  <sheetViews>
    <sheetView zoomScale="81" zoomScaleNormal="81" workbookViewId="0">
      <pane ySplit="5" topLeftCell="A6" activePane="bottomLeft" state="frozen"/>
      <selection pane="bottomLeft" activeCell="A1" sqref="A1"/>
      <selection pane="bottomLeft" activeCell="V29" sqref="V29"/>
    </sheetView>
  </sheetViews>
  <sheetFormatPr baseColWidth="8" defaultColWidth="9.81730769230769" defaultRowHeight="16.8"/>
  <cols>
    <col width="56.9134615384615" customWidth="1" style="123" min="1" max="1"/>
    <col width="7.33653846153846" customWidth="1" style="123" min="2" max="2"/>
    <col width="7.33653846153846" customWidth="1" style="19" min="3" max="6"/>
    <col width="10.6346153846154" customWidth="1" style="123" min="7" max="12"/>
    <col width="15.375" customWidth="1" style="123" min="13" max="13"/>
    <col width="13.9230769230769" customWidth="1" style="286" min="14" max="14"/>
    <col width="10.6346153846154" customWidth="1" style="123" min="15" max="15"/>
    <col width="14" customWidth="1" style="123" min="16" max="16"/>
    <col width="16.3365384615385" customWidth="1" style="123" min="17" max="17"/>
    <col width="14.9903846153846" customWidth="1" style="123" min="18" max="18"/>
    <col width="10.6346153846154" customWidth="1" style="123" min="19" max="19"/>
    <col width="10.6346153846154" customWidth="1" style="287" min="20" max="20"/>
    <col width="10.6346153846154" customWidth="1" style="123" min="21" max="16383"/>
    <col width="10.6346153846154" customWidth="1" style="123" min="16384" max="16384"/>
  </cols>
  <sheetData>
    <row r="1" ht="34" customFormat="1" customHeight="1" s="123">
      <c r="A1" s="127" t="inlineStr">
        <is>
          <t>细分市场名称：未提供（需额外上传 ABA / Opportunity Explorer 数据）</t>
        </is>
      </c>
      <c r="B1" s="127" t="n"/>
      <c r="C1" s="21" t="n"/>
      <c r="D1" s="21" t="n"/>
      <c r="E1" s="21" t="n"/>
      <c r="F1" s="21" t="n"/>
      <c r="G1" s="127" t="n"/>
      <c r="H1" s="127" t="n"/>
      <c r="I1" s="127" t="n"/>
      <c r="J1" s="127" t="n"/>
      <c r="K1" s="127" t="n"/>
      <c r="L1" s="127" t="n"/>
      <c r="M1" s="26" t="inlineStr">
        <is>
          <t>细分市场总点击数量</t>
        </is>
      </c>
      <c r="N1" s="288" t="inlineStr">
        <is>
          <t>N/A</t>
        </is>
      </c>
      <c r="O1" s="127" t="n"/>
      <c r="P1" s="127" t="n"/>
      <c r="T1" s="287" t="n"/>
    </row>
    <row r="2" customFormat="1" s="123">
      <c r="A2" s="127" t="inlineStr">
        <is>
          <t>细分市场详情 - “搜索词” 选项卡</t>
        </is>
      </c>
      <c r="B2" s="127" t="n"/>
      <c r="C2" s="21" t="n"/>
      <c r="D2" s="21" t="n"/>
      <c r="E2" s="21" t="n"/>
      <c r="F2" s="21" t="n"/>
      <c r="G2" s="127" t="n"/>
      <c r="H2" s="127" t="n"/>
      <c r="I2" s="127" t="n"/>
      <c r="J2" s="127" t="n"/>
      <c r="K2" s="127" t="n"/>
      <c r="L2" s="127" t="n"/>
      <c r="M2" s="127" t="n"/>
      <c r="N2" s="288" t="n"/>
      <c r="O2" s="127" t="n"/>
      <c r="P2" s="127" t="n"/>
      <c r="R2" s="123" t="inlineStr">
        <is>
          <t>客单价</t>
        </is>
      </c>
      <c r="T2" s="287" t="n"/>
    </row>
    <row r="3" customFormat="1" s="123">
      <c r="A3" s="127" t="n"/>
      <c r="B3" s="127" t="n"/>
      <c r="C3" s="21" t="n"/>
      <c r="D3" s="21" t="n"/>
      <c r="E3" s="21" t="n"/>
      <c r="F3" s="21" t="n"/>
      <c r="G3" s="127" t="n"/>
      <c r="H3" s="127" t="n"/>
      <c r="I3" s="127" t="n"/>
      <c r="J3" s="127" t="n"/>
      <c r="K3" s="127" t="n"/>
      <c r="L3" s="127" t="n"/>
      <c r="M3" s="127" t="n"/>
      <c r="N3" s="288" t="n"/>
      <c r="O3" s="127" t="n"/>
      <c r="P3" s="127" t="n"/>
      <c r="Q3" s="34" t="n">
        <v>0.6</v>
      </c>
      <c r="R3" s="123" t="n">
        <v>90</v>
      </c>
      <c r="T3" s="287" t="n"/>
      <c r="U3" s="66" t="n"/>
    </row>
    <row r="4" customFormat="1" s="123">
      <c r="A4" s="127" t="n"/>
      <c r="B4" s="127" t="n"/>
      <c r="C4" s="21" t="n"/>
      <c r="D4" s="21" t="n"/>
      <c r="E4" s="21" t="n"/>
      <c r="F4" s="21" t="n"/>
      <c r="G4" s="127" t="n"/>
      <c r="H4" s="127" t="n"/>
      <c r="I4" s="127" t="n"/>
      <c r="J4" s="127" t="n"/>
      <c r="K4" s="127" t="n"/>
      <c r="L4" s="127" t="n"/>
      <c r="M4" s="288" t="n"/>
      <c r="N4" s="288" t="n"/>
      <c r="O4" s="128" t="n"/>
      <c r="P4" s="128" t="n"/>
      <c r="Q4" s="66">
        <f>O4*$P$2</f>
        <v/>
      </c>
      <c r="R4" s="289">
        <f>1/Q4</f>
        <v/>
      </c>
      <c r="S4" s="290" t="n">
        <v>0.7</v>
      </c>
      <c r="T4" s="287">
        <f>R4*S4</f>
        <v/>
      </c>
      <c r="U4" s="66">
        <f>T4/V4</f>
        <v/>
      </c>
      <c r="V4" s="123" t="n">
        <v>49</v>
      </c>
    </row>
    <row r="5" ht="100" customFormat="1" customHeight="1" s="4">
      <c r="A5" s="22" t="inlineStr">
        <is>
          <t>搜索词</t>
        </is>
      </c>
      <c r="B5" s="22" t="inlineStr">
        <is>
          <t>搜索量（过去 360 天）</t>
        </is>
      </c>
      <c r="C5" s="23" t="inlineStr">
        <is>
          <t>搜索量增长（过去 90 天）</t>
        </is>
      </c>
      <c r="D5" s="23" t="inlineStr">
        <is>
          <t>搜索量增长（过去 180 天）</t>
        </is>
      </c>
      <c r="E5" s="23" t="inlineStr">
        <is>
          <t>点击份额（过去 360 天）</t>
        </is>
      </c>
      <c r="F5" s="23" t="inlineStr">
        <is>
          <t>搜索转化率（过去 360 天）</t>
        </is>
      </c>
      <c r="G5" s="22" t="inlineStr">
        <is>
          <t>点击率最高的商品1（标题）</t>
        </is>
      </c>
      <c r="H5" s="22" t="inlineStr">
        <is>
          <t>点击率最高的商品1 (ASIN)</t>
        </is>
      </c>
      <c r="I5" s="22" t="inlineStr">
        <is>
          <t>点击率最高的商品2（标题）</t>
        </is>
      </c>
      <c r="J5" s="22" t="inlineStr">
        <is>
          <t>点击率最高的商品2 (ASIN)</t>
        </is>
      </c>
      <c r="K5" s="22" t="inlineStr">
        <is>
          <t>点击率最高的商品3（标题）</t>
        </is>
      </c>
      <c r="L5" s="22" t="inlineStr">
        <is>
          <t>点击率最高的商品3 (ASIN)</t>
        </is>
      </c>
      <c r="M5" s="27" t="inlineStr">
        <is>
          <t>Click</t>
        </is>
      </c>
      <c r="N5" s="291" t="inlineStr">
        <is>
          <t>Order</t>
        </is>
      </c>
      <c r="O5" s="27" t="inlineStr">
        <is>
          <t>Cvr</t>
        </is>
      </c>
      <c r="P5" s="27" t="inlineStr">
        <is>
          <t>Order%</t>
        </is>
      </c>
      <c r="Q5" s="4" t="inlineStr">
        <is>
          <t>预估广告转化率</t>
        </is>
      </c>
      <c r="R5" s="4" t="inlineStr">
        <is>
          <t>获单个订单-点击</t>
        </is>
      </c>
      <c r="S5" s="4" t="inlineStr">
        <is>
          <t>CPC</t>
        </is>
      </c>
      <c r="T5" s="292" t="inlineStr">
        <is>
          <t>SPEND</t>
        </is>
      </c>
      <c r="U5" s="4" t="inlineStr">
        <is>
          <t>ACOS</t>
        </is>
      </c>
      <c r="V5" s="4" t="inlineStr">
        <is>
          <t>ACoAS</t>
        </is>
      </c>
    </row>
    <row r="6" customFormat="1" s="123">
      <c r="A6" s="127" t="n"/>
      <c r="B6" s="127" t="n"/>
      <c r="C6" s="127" t="n"/>
      <c r="D6" s="21" t="n"/>
      <c r="E6" s="21" t="n"/>
      <c r="F6" s="21" t="n"/>
      <c r="G6" s="127" t="n"/>
      <c r="H6" s="127" t="n"/>
      <c r="I6" s="127" t="n"/>
      <c r="J6" s="127" t="n"/>
      <c r="K6" s="127" t="n"/>
      <c r="L6" s="127" t="n"/>
      <c r="M6" s="293" t="n"/>
      <c r="N6" s="294" t="n"/>
      <c r="O6" s="31" t="n"/>
      <c r="P6" s="31" t="n"/>
      <c r="Q6" s="66" t="n"/>
      <c r="R6" s="295" t="n"/>
      <c r="S6" s="123" t="n"/>
      <c r="T6" s="287" t="n"/>
      <c r="U6" s="66" t="n"/>
      <c r="V6" s="66" t="n"/>
    </row>
    <row r="7" customFormat="1" s="123"/>
    <row r="8" customFormat="1" s="123"/>
    <row r="9" customFormat="1" s="123"/>
    <row r="10" customFormat="1" s="123"/>
    <row r="11" customFormat="1" s="123"/>
    <row r="12" customFormat="1" s="123"/>
    <row r="13" customFormat="1" s="123"/>
    <row r="14" customFormat="1" s="123"/>
    <row r="15" customFormat="1" s="123"/>
    <row r="16" customFormat="1" s="123"/>
    <row r="17" customFormat="1" s="123"/>
    <row r="18" customFormat="1" s="123"/>
    <row r="19" customFormat="1" s="123"/>
    <row r="20" customFormat="1" s="123"/>
    <row r="21" customFormat="1" s="123"/>
    <row r="22" customFormat="1" s="123"/>
    <row r="23" customFormat="1" s="123"/>
    <row r="24" customFormat="1" s="123"/>
    <row r="25" customFormat="1" s="123"/>
    <row r="26" customFormat="1" s="123"/>
  </sheetData>
  <autoFilter ref="A5:T6">
    <sortState ref="A5:T25">
      <sortCondition descending="1" ref="N5"/>
    </sortState>
  </autoFilter>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6"/>
  <sheetViews>
    <sheetView zoomScale="79" zoomScaleNormal="79" workbookViewId="0">
      <pane ySplit="5" topLeftCell="A6" activePane="bottomLeft" state="frozen"/>
      <selection pane="bottomLeft" activeCell="A1" sqref="A1"/>
      <selection pane="bottomLeft" activeCell="A7" sqref="$A7:$XFD106"/>
    </sheetView>
  </sheetViews>
  <sheetFormatPr baseColWidth="8" defaultColWidth="9.81730769230769" defaultRowHeight="16.8"/>
  <cols>
    <col width="212.153846153846" customWidth="1" style="123" min="1" max="1"/>
    <col width="9.81730769230769" customWidth="1" style="123" min="2" max="4"/>
    <col width="13.4615384615385" customWidth="1" style="123" min="5" max="5"/>
    <col width="9.81730769230769" customWidth="1" style="123" min="6" max="6"/>
    <col width="9.81730769230769" customWidth="1" style="66" min="7" max="7"/>
    <col width="9.81730769230769" customWidth="1" style="123" min="8" max="13"/>
    <col width="28.8173076923077" customWidth="1" style="123" min="14" max="14"/>
    <col width="14" customWidth="1" style="286" min="15" max="15"/>
    <col width="9.81730769230769" customWidth="1" style="123" min="16" max="16384"/>
  </cols>
  <sheetData>
    <row r="1" customFormat="1" s="123">
      <c r="A1" s="123" t="inlineStr">
        <is>
          <t>细分市场名称：未提供（需额外上传 ABA / Opportunity Explorer 数据）</t>
        </is>
      </c>
      <c r="G1" s="66" t="n"/>
      <c r="N1" s="12" t="inlineStr">
        <is>
          <t>细分市场总点击数量（90%）</t>
        </is>
      </c>
      <c r="O1" s="288">
        <f>SUM(F6:F999)</f>
        <v/>
      </c>
    </row>
    <row r="2" customFormat="1" s="123">
      <c r="A2" s="123" t="inlineStr">
        <is>
          <t>细分市场详情 - “商品” 选项卡</t>
        </is>
      </c>
      <c r="G2" s="66" t="n"/>
      <c r="N2" s="12" t="inlineStr">
        <is>
          <t>细分市场总点击数量</t>
        </is>
      </c>
      <c r="O2" s="288">
        <f>O1/0.9</f>
        <v/>
      </c>
    </row>
    <row r="3" customFormat="1" s="123">
      <c r="A3" s="123" t="n"/>
      <c r="G3" s="66" t="n"/>
      <c r="O3" s="286" t="n"/>
    </row>
    <row r="4" customFormat="1" s="123">
      <c r="G4" s="66" t="n"/>
      <c r="O4" s="286" t="n"/>
    </row>
    <row r="5" ht="100" customFormat="1" customHeight="1" s="4">
      <c r="A5" s="7" t="inlineStr">
        <is>
          <t>商品名称</t>
        </is>
      </c>
      <c r="B5" s="7" t="inlineStr">
        <is>
          <t>ASIN</t>
        </is>
      </c>
      <c r="C5" s="7" t="inlineStr">
        <is>
          <t>品牌</t>
        </is>
      </c>
      <c r="D5" s="7" t="inlineStr">
        <is>
          <t>类别</t>
        </is>
      </c>
      <c r="E5" s="7" t="inlineStr">
        <is>
          <t>发布日期</t>
        </is>
      </c>
      <c r="F5" s="7" t="inlineStr">
        <is>
          <t>细分市场点击量（过去 360 天）</t>
        </is>
      </c>
      <c r="G5" s="9" t="inlineStr">
        <is>
          <t>点击份额（过去 360 天内）</t>
        </is>
      </c>
      <c r="H5" s="7" t="inlineStr">
        <is>
          <t>平均售价（过去 360 天内）(USD)</t>
        </is>
      </c>
      <c r="I5" s="7" t="inlineStr">
        <is>
          <t>总评分</t>
        </is>
      </c>
      <c r="J5" s="7" t="inlineStr">
        <is>
          <t>客户评分平均值</t>
        </is>
      </c>
      <c r="K5" s="7" t="inlineStr">
        <is>
          <t>畅销商品榜平均排名</t>
        </is>
      </c>
      <c r="L5" s="7" t="inlineStr">
        <is>
          <t>卖家和供应商的平均数量（过去 360 天内）</t>
        </is>
      </c>
      <c r="O5" s="296" t="n"/>
    </row>
    <row r="6" customFormat="1" s="123">
      <c r="A6" s="127" t="n"/>
      <c r="B6" s="127" t="n"/>
      <c r="C6" s="127" t="n"/>
      <c r="D6" s="127" t="n"/>
      <c r="E6" s="10" t="n"/>
      <c r="F6" s="127" t="n"/>
      <c r="G6" s="128" t="n"/>
      <c r="H6" s="127" t="n"/>
      <c r="I6" s="127" t="n"/>
      <c r="J6" s="127" t="n"/>
      <c r="K6" s="127" t="n"/>
      <c r="L6" s="127" t="n"/>
      <c r="M6" s="110" t="n"/>
      <c r="N6" s="110" t="n"/>
      <c r="O6" s="297" t="n"/>
      <c r="P6" s="110" t="n"/>
    </row>
    <row r="7" customFormat="1" s="123"/>
    <row r="8" customFormat="1" s="123"/>
    <row r="9" customFormat="1" s="123"/>
    <row r="10" customFormat="1" s="123"/>
    <row r="11" customFormat="1" s="123"/>
    <row r="12" customFormat="1" s="123"/>
    <row r="13" customFormat="1" s="123"/>
    <row r="14" customFormat="1" s="123"/>
    <row r="15" customFormat="1" s="123"/>
    <row r="16" customFormat="1" s="123"/>
    <row r="17" customFormat="1" s="123"/>
    <row r="18" customFormat="1" s="123"/>
    <row r="19" customFormat="1" s="123"/>
    <row r="20" customFormat="1" s="123"/>
    <row r="21" customFormat="1" s="123"/>
    <row r="22" customFormat="1" s="123"/>
    <row r="23" customFormat="1" s="123"/>
    <row r="24" customFormat="1" s="123"/>
    <row r="25" customFormat="1" s="123"/>
    <row r="26" customFormat="1" s="123"/>
    <row r="27" customFormat="1" s="123"/>
    <row r="28" customFormat="1" s="123"/>
    <row r="29" customFormat="1" s="123"/>
    <row r="30" customFormat="1" s="123"/>
    <row r="31" customFormat="1" s="123"/>
    <row r="32" customFormat="1" s="123"/>
    <row r="33" customFormat="1" s="123"/>
    <row r="34" customFormat="1" s="123"/>
    <row r="35" customFormat="1" s="123"/>
    <row r="36" customFormat="1" s="123"/>
    <row r="37" customFormat="1" s="123"/>
    <row r="38" customFormat="1" s="123"/>
    <row r="39" customFormat="1" s="123"/>
    <row r="40" customFormat="1" s="123"/>
    <row r="41" customFormat="1" s="123"/>
    <row r="42" customFormat="1" s="123"/>
    <row r="43" customFormat="1" s="123"/>
    <row r="44" customFormat="1" s="123"/>
    <row r="45" customFormat="1" s="123"/>
    <row r="46" customFormat="1" s="123"/>
    <row r="47" customFormat="1" s="123"/>
    <row r="48" customFormat="1" s="123"/>
    <row r="49" customFormat="1" s="123"/>
    <row r="50" customFormat="1" s="123"/>
    <row r="51" customFormat="1" s="123"/>
    <row r="52" customFormat="1" s="123"/>
    <row r="53" customFormat="1" s="123"/>
    <row r="54" customFormat="1" s="123"/>
    <row r="55" customFormat="1" s="123"/>
    <row r="56" customFormat="1" s="123"/>
    <row r="57" customFormat="1" s="123"/>
    <row r="58" customFormat="1" s="123"/>
    <row r="59" customFormat="1" s="123"/>
    <row r="60" customFormat="1" s="123"/>
    <row r="61" customFormat="1" s="123"/>
    <row r="62" customFormat="1" s="123"/>
    <row r="63" customFormat="1" s="123"/>
    <row r="64" customFormat="1" s="123"/>
    <row r="65" customFormat="1" s="123"/>
    <row r="66" customFormat="1" s="123"/>
    <row r="67" customFormat="1" s="123"/>
    <row r="68" customFormat="1" s="123"/>
    <row r="69" customFormat="1" s="123"/>
    <row r="70" customFormat="1" s="123"/>
    <row r="71" customFormat="1" s="123"/>
    <row r="72" customFormat="1" s="123"/>
    <row r="73" customFormat="1" s="123"/>
    <row r="74" customFormat="1" s="123"/>
    <row r="75" customFormat="1" s="123"/>
    <row r="76" customFormat="1" s="123"/>
    <row r="77" customFormat="1" s="123"/>
    <row r="78" customFormat="1" s="123"/>
    <row r="79" customFormat="1" s="123"/>
    <row r="80" customFormat="1" s="123"/>
    <row r="81" customFormat="1" s="123"/>
    <row r="82" customFormat="1" s="123"/>
    <row r="83" customFormat="1" s="123"/>
    <row r="84" customFormat="1" s="123"/>
    <row r="85" customFormat="1" s="123"/>
    <row r="86" customFormat="1" s="123"/>
    <row r="87" customFormat="1" s="123"/>
    <row r="88" customFormat="1" s="123"/>
    <row r="89" customFormat="1" s="123"/>
    <row r="90" customFormat="1" s="123"/>
    <row r="91" customFormat="1" s="123"/>
    <row r="92" customFormat="1" s="123"/>
    <row r="93" customFormat="1" s="123"/>
    <row r="94" customFormat="1" s="123"/>
    <row r="95" customFormat="1" s="123"/>
    <row r="96" customFormat="1" s="123"/>
    <row r="97" customFormat="1" s="123"/>
    <row r="98" customFormat="1" s="123"/>
  </sheetData>
  <autoFilter ref="A5:L6">
    <sortState ref="A5:L106">
      <sortCondition descending="1" ref="G5"/>
    </sortState>
  </autoFilter>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election pane="bottomLeft" activeCell="D2" sqref="D2"/>
    </sheetView>
  </sheetViews>
  <sheetFormatPr baseColWidth="8" defaultColWidth="9.23076923076923" defaultRowHeight="16.8"/>
  <cols>
    <col width="30.7596153846154" customWidth="1" style="1" min="1" max="5"/>
    <col width="9.23076923076923" customWidth="1" style="1" min="7" max="16384"/>
  </cols>
  <sheetData>
    <row r="1" ht="105" customHeight="1" s="235">
      <c r="A1" s="2" t="inlineStr">
        <is>
          <t>LISITNG</t>
        </is>
      </c>
      <c r="B1" s="2" t="inlineStr">
        <is>
          <t>否定类型</t>
        </is>
      </c>
      <c r="C1" s="2" t="inlineStr">
        <is>
          <t>否定原因</t>
        </is>
      </c>
      <c r="D1" s="2" t="inlineStr">
        <is>
          <t>否定文本</t>
        </is>
      </c>
      <c r="E1" s="2" t="inlineStr">
        <is>
          <t>否定类型</t>
        </is>
      </c>
    </row>
    <row r="2">
      <c r="A2" s="1" t="n"/>
      <c r="B2" s="1" t="n"/>
    </row>
    <row r="3">
      <c r="A3" s="1" t="n"/>
    </row>
    <row r="4">
      <c r="A4" s="1" t="n"/>
    </row>
    <row r="5">
      <c r="A5" s="1" t="n"/>
    </row>
    <row r="6">
      <c r="A6" s="1" t="n"/>
    </row>
    <row r="7">
      <c r="A7" s="1" t="n"/>
    </row>
    <row r="8">
      <c r="A8" s="1" t="n"/>
    </row>
    <row r="9">
      <c r="A9" s="1" t="n"/>
    </row>
    <row r="10">
      <c r="A10" s="1" t="n"/>
    </row>
    <row r="11">
      <c r="A11" s="1" t="n"/>
    </row>
    <row r="12">
      <c r="A12" s="1" t="n"/>
    </row>
    <row r="13">
      <c r="A13" s="1" t="n"/>
    </row>
    <row r="14">
      <c r="A14" s="1" t="n"/>
    </row>
    <row r="15">
      <c r="A15" s="1" t="n"/>
    </row>
    <row r="16">
      <c r="A16" s="1" t="n"/>
    </row>
    <row r="17">
      <c r="A17" s="1" t="n"/>
    </row>
    <row r="18">
      <c r="A18" s="1"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zoomScale="85" zoomScaleNormal="85" workbookViewId="0">
      <selection activeCell="A2" sqref="A2"/>
    </sheetView>
  </sheetViews>
  <sheetFormatPr baseColWidth="8" defaultColWidth="9.23076923076923" defaultRowHeight="16.8"/>
  <cols>
    <col width="68" customWidth="1" style="1" min="1" max="1"/>
    <col width="62.7692307692308" customWidth="1" style="1" min="2" max="2"/>
    <col width="26.75" customWidth="1" style="1" min="3" max="9"/>
    <col width="9.23076923076923" customWidth="1" style="1" min="10" max="14"/>
    <col width="42.3846153846154" customWidth="1" style="1" min="15" max="15"/>
    <col width="12.9230769230769" customWidth="1" style="1" min="16" max="16"/>
    <col width="9.23076923076923" customWidth="1" style="1" min="17" max="22"/>
    <col width="42.3846153846154" customWidth="1" style="1" min="23" max="23"/>
    <col width="27.8461538461538" customWidth="1" style="1" min="24" max="24"/>
    <col width="9.23076923076923" customWidth="1" style="1" min="25" max="16384"/>
  </cols>
  <sheetData>
    <row r="1">
      <c r="A1" s="1" t="inlineStr">
        <is>
          <t>流量方向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2023-11-04T10:56:00Z</dcterms:created>
  <dcterms:modified xsi:type="dcterms:W3CDTF">2026-06-22T09:24:46Z</dcterms:modified>
  <cp:lastModifiedBy>我</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8937D63C565645149DE1386AEF87C1E5_43</vt:lpwstr>
  </property>
  <property name="KSOProductBuildVer" fmtid="{D5CDD505-2E9C-101B-9397-08002B2CF9AE}" pid="3">
    <vt:lpwstr>2052-6.15.2.8936</vt:lpwstr>
  </property>
  <property name="KSOReadingLayout" fmtid="{D5CDD505-2E9C-101B-9397-08002B2CF9AE}" pid="4">
    <vt:bool>1</vt:bool>
  </property>
</Properties>
</file>